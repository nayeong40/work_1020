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_1020\"/>
    </mc:Choice>
  </mc:AlternateContent>
  <xr:revisionPtr revIDLastSave="0" documentId="8_{E95D9084-8214-48A4-88F3-BA81A32FB66F}" xr6:coauthVersionLast="47" xr6:coauthVersionMax="47" xr10:uidLastSave="{00000000-0000-0000-0000-000000000000}"/>
  <bookViews>
    <workbookView xWindow="2304" yWindow="2304" windowWidth="17280" windowHeight="8880" xr2:uid="{DEE04EAA-4A75-4FA4-A85C-AD87435B1CC0}"/>
  </bookViews>
  <sheets>
    <sheet name="신규사업_예산수치(박스기준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4" i="1"/>
  <c r="G14" i="1"/>
  <c r="F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<sst xmlns="http://schemas.openxmlformats.org/spreadsheetml/2006/main" count="86" uniqueCount="55">
  <si>
    <t>2027년 국방예산 중점 투자사업 내 [신규·신설 사업] 추출 현황</t>
  </si>
  <si>
    <t>※ 원본 엑셀(1_박스기준_예산수치자료 시트)에서 2027년 신규·신설 사업만 추출한 자료입니다. (단위: 억 원)</t>
  </si>
  <si>
    <t>연번</t>
  </si>
  <si>
    <t>분야번호</t>
  </si>
  <si>
    <t>중점 투자사업 분야</t>
  </si>
  <si>
    <t>신규·신설 사업명 (박스 기준)</t>
  </si>
  <si>
    <t>구분</t>
  </si>
  <si>
    <t>2026년 예산(억원)</t>
  </si>
  <si>
    <t>2027년 예산(억원)</t>
  </si>
  <si>
    <t>증감액(억원)</t>
  </si>
  <si>
    <t>비고(신규여부)</t>
  </si>
  <si>
    <t>박스 원문 표기 및 참고사항</t>
  </si>
  <si>
    <t>③</t>
  </si>
  <si>
    <t>AI·유무인 복합체계 첨단 전력 전환</t>
  </si>
  <si>
    <t>수송·주둔지 경계·위험물 취급 등 피지컬 AI 실증 신설</t>
  </si>
  <si>
    <t>박스 내역(신규)</t>
  </si>
  <si>
    <t>신규</t>
  </si>
  <si>
    <t>박스 내 (신규 430억원) 표기 — AI·유무인 복합체계 내역사업</t>
  </si>
  <si>
    <t>⑤</t>
  </si>
  <si>
    <t>장병 복무여건 개선 및 복지 강화</t>
  </si>
  <si>
    <t>병 단체 상해보험 신규 도입</t>
  </si>
  <si>
    <t>박스 직접예산(신규)</t>
  </si>
  <si>
    <t>박스 내 (신규 69억원) 표기 / 현역·상근예비역 약 29만명 대상</t>
  </si>
  <si>
    <t>단기복무 임관 부사관 적금 매칭지원금 신설</t>
  </si>
  <si>
    <t>붙임2 연계예산(신규)</t>
  </si>
  <si>
    <t>박스 내 (월 최대 30만원, 3년 지원) 표기 / 붙임2(p.22) 신규 189억</t>
  </si>
  <si>
    <t>⑥</t>
  </si>
  <si>
    <t>미래 국방기술 투자 확대</t>
  </si>
  <si>
    <t>국방반도체 기술개발 신규 투자</t>
  </si>
  <si>
    <t>박스 내 (신규 565억원) 표기 / 참고: 붙임2(p.17) ’26년 핵심기술 과제비 132억</t>
  </si>
  <si>
    <t>한국형 첨단항공추진체계 기술 개발 투자 확대</t>
  </si>
  <si>
    <t>박스 내 (신규 90억원) 표기 / 무인전투기 엔진(+20억) + 첨단항공엔진(+70억)</t>
  </si>
  <si>
    <t>고출력 레이저 기반 하드킬 기술 확보</t>
  </si>
  <si>
    <t>박스 내 (신규 121억원) 표기</t>
  </si>
  <si>
    <t>⑧</t>
  </si>
  <si>
    <t>AI·디지털 국민체감형 병무서비스 확대</t>
  </si>
  <si>
    <t>생성형 AI 챗봇 도입 맞춤형 병무상담·민원안내 강화</t>
  </si>
  <si>
    <t>박스 내 (신규 19억원) 표기 / 붙임2(p.36) 세부 19.32억원</t>
  </si>
  <si>
    <t>병무청 동원훈련 업무 통합관리시스템 구축</t>
  </si>
  <si>
    <t>박스 내 (신규 14억원) 표기 / 붙임2(p.37) 세부 약 13.5억원</t>
  </si>
  <si>
    <t>입영·소집 입국 항공여비 지급</t>
  </si>
  <si>
    <t>박스 내 (신규 6억원) 표기 / 붙임2(p.38) 세부 약 5.59억원</t>
  </si>
  <si>
    <t>신규·신설 사업(9건) 예산 합계</t>
  </si>
  <si>
    <t>본문 박스 내 9대 신규·신설 사업 ’27년 예산 총액 (1,503억 원)</t>
  </si>
  <si>
    <t>[참고] 본문 박스 내 비예산 지표 중 신규 신설 항목</t>
  </si>
  <si>
    <t>박스 내 신규 지표명</t>
  </si>
  <si>
    <t>단위</t>
  </si>
  <si>
    <t>2026년 수치</t>
  </si>
  <si>
    <t>2027년 수치</t>
  </si>
  <si>
    <t>증감폭</t>
  </si>
  <si>
    <t>비고 (박스 원문 내용)</t>
  </si>
  <si>
    <t>장병 복무여건 개선</t>
  </si>
  <si>
    <t>단기복무 임관 부사관 적금 매칭지원금 (월 최대)</t>
  </si>
  <si>
    <t>만 원/월</t>
  </si>
  <si>
    <t>단기복무 임관 부사관 적금 매칭지원금 신설 (월 최대 30만원, 3년 지원)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</si>
</sst>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#,##0;\-#,##0;0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rgb="FF1E293B"/>
      <name val="맑은 고딕"/>
      <family val="3"/>
      <charset val="129"/>
      <scheme val="minor"/>
    </font>
    <font>
      <sz val="9.5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.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3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3219-C66C-4687-84F9-FC9AA2E8D616}">
  <dimension ref="A1:J18"/>
  <sheetViews>
    <sheetView tabSelected="1" workbookViewId="0"/>
  </sheetViews>
  <sheetFormatPr defaultRowHeight="15.6" x14ac:dyDescent="0.4"/>
  <cols>
    <col min="1" max="1" width="7.69921875" style="1" customWidth="1"/>
    <col min="2" max="2" width="9.69921875" style="1" customWidth="1"/>
    <col min="3" max="3" width="28.69921875" style="1" customWidth="1"/>
    <col min="4" max="4" width="42.69921875" style="1" customWidth="1"/>
    <col min="5" max="5" width="18.69921875" style="1" customWidth="1"/>
    <col min="6" max="7" width="17.69921875" style="1" customWidth="1"/>
    <col min="8" max="8" width="15.69921875" style="1" customWidth="1"/>
    <col min="9" max="9" width="12.69921875" style="1" customWidth="1"/>
    <col min="10" max="10" width="58.69921875" style="1" customWidth="1"/>
    <col min="11" max="16384" width="8.796875" style="1"/>
  </cols>
  <sheetData>
    <row r="1" spans="1:10" ht="31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9.95" customHeight="1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25.05" customHeight="1" x14ac:dyDescent="0.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22.05" customHeight="1" x14ac:dyDescent="0.4">
      <c r="A5" s="10">
        <v>1</v>
      </c>
      <c r="B5" s="10" t="s">
        <v>12</v>
      </c>
      <c r="C5" s="11" t="s">
        <v>13</v>
      </c>
      <c r="D5" s="11" t="s">
        <v>14</v>
      </c>
      <c r="E5" s="10" t="s">
        <v>15</v>
      </c>
      <c r="F5" s="12">
        <v>0</v>
      </c>
      <c r="G5" s="12">
        <v>430</v>
      </c>
      <c r="H5" s="13">
        <f>G5-F5</f>
        <v>430</v>
      </c>
      <c r="I5" s="14" t="s">
        <v>16</v>
      </c>
      <c r="J5" s="11" t="s">
        <v>17</v>
      </c>
    </row>
    <row r="6" spans="1:10" ht="22.05" customHeight="1" x14ac:dyDescent="0.4">
      <c r="A6" s="15">
        <v>2</v>
      </c>
      <c r="B6" s="10" t="s">
        <v>18</v>
      </c>
      <c r="C6" s="11" t="s">
        <v>19</v>
      </c>
      <c r="D6" s="11" t="s">
        <v>20</v>
      </c>
      <c r="E6" s="10" t="s">
        <v>21</v>
      </c>
      <c r="F6" s="12">
        <v>0</v>
      </c>
      <c r="G6" s="12">
        <v>69</v>
      </c>
      <c r="H6" s="13">
        <f>G6-F6</f>
        <v>69</v>
      </c>
      <c r="I6" s="14" t="s">
        <v>16</v>
      </c>
      <c r="J6" s="16" t="s">
        <v>22</v>
      </c>
    </row>
    <row r="7" spans="1:10" ht="22.05" customHeight="1" x14ac:dyDescent="0.4">
      <c r="A7" s="10">
        <v>3</v>
      </c>
      <c r="B7" s="10" t="s">
        <v>18</v>
      </c>
      <c r="C7" s="11" t="s">
        <v>19</v>
      </c>
      <c r="D7" s="11" t="s">
        <v>23</v>
      </c>
      <c r="E7" s="10" t="s">
        <v>24</v>
      </c>
      <c r="F7" s="12">
        <v>0</v>
      </c>
      <c r="G7" s="12">
        <v>189</v>
      </c>
      <c r="H7" s="13">
        <f>G7-F7</f>
        <v>189</v>
      </c>
      <c r="I7" s="14" t="s">
        <v>16</v>
      </c>
      <c r="J7" s="11" t="s">
        <v>25</v>
      </c>
    </row>
    <row r="8" spans="1:10" ht="22.05" customHeight="1" x14ac:dyDescent="0.4">
      <c r="A8" s="15">
        <v>4</v>
      </c>
      <c r="B8" s="10" t="s">
        <v>26</v>
      </c>
      <c r="C8" s="11" t="s">
        <v>27</v>
      </c>
      <c r="D8" s="11" t="s">
        <v>28</v>
      </c>
      <c r="E8" s="10" t="s">
        <v>21</v>
      </c>
      <c r="F8" s="12">
        <v>0</v>
      </c>
      <c r="G8" s="12">
        <v>565</v>
      </c>
      <c r="H8" s="13">
        <f>G8-F8</f>
        <v>565</v>
      </c>
      <c r="I8" s="14" t="s">
        <v>16</v>
      </c>
      <c r="J8" s="16" t="s">
        <v>29</v>
      </c>
    </row>
    <row r="9" spans="1:10" ht="22.05" customHeight="1" x14ac:dyDescent="0.4">
      <c r="A9" s="10">
        <v>5</v>
      </c>
      <c r="B9" s="10" t="s">
        <v>26</v>
      </c>
      <c r="C9" s="11" t="s">
        <v>27</v>
      </c>
      <c r="D9" s="11" t="s">
        <v>30</v>
      </c>
      <c r="E9" s="10" t="s">
        <v>21</v>
      </c>
      <c r="F9" s="12">
        <v>0</v>
      </c>
      <c r="G9" s="12">
        <v>90</v>
      </c>
      <c r="H9" s="13">
        <f>G9-F9</f>
        <v>90</v>
      </c>
      <c r="I9" s="14" t="s">
        <v>16</v>
      </c>
      <c r="J9" s="11" t="s">
        <v>31</v>
      </c>
    </row>
    <row r="10" spans="1:10" ht="22.05" customHeight="1" x14ac:dyDescent="0.4">
      <c r="A10" s="15">
        <v>6</v>
      </c>
      <c r="B10" s="10" t="s">
        <v>26</v>
      </c>
      <c r="C10" s="11" t="s">
        <v>27</v>
      </c>
      <c r="D10" s="11" t="s">
        <v>32</v>
      </c>
      <c r="E10" s="10" t="s">
        <v>21</v>
      </c>
      <c r="F10" s="12">
        <v>0</v>
      </c>
      <c r="G10" s="12">
        <v>121</v>
      </c>
      <c r="H10" s="13">
        <f>G10-F10</f>
        <v>121</v>
      </c>
      <c r="I10" s="14" t="s">
        <v>16</v>
      </c>
      <c r="J10" s="16" t="s">
        <v>33</v>
      </c>
    </row>
    <row r="11" spans="1:10" ht="22.05" customHeight="1" x14ac:dyDescent="0.4">
      <c r="A11" s="10">
        <v>7</v>
      </c>
      <c r="B11" s="10" t="s">
        <v>34</v>
      </c>
      <c r="C11" s="11" t="s">
        <v>35</v>
      </c>
      <c r="D11" s="11" t="s">
        <v>36</v>
      </c>
      <c r="E11" s="10" t="s">
        <v>21</v>
      </c>
      <c r="F11" s="12">
        <v>0</v>
      </c>
      <c r="G11" s="12">
        <v>19</v>
      </c>
      <c r="H11" s="13">
        <f>G11-F11</f>
        <v>19</v>
      </c>
      <c r="I11" s="14" t="s">
        <v>16</v>
      </c>
      <c r="J11" s="11" t="s">
        <v>37</v>
      </c>
    </row>
    <row r="12" spans="1:10" ht="22.05" customHeight="1" x14ac:dyDescent="0.4">
      <c r="A12" s="15">
        <v>8</v>
      </c>
      <c r="B12" s="10" t="s">
        <v>34</v>
      </c>
      <c r="C12" s="11" t="s">
        <v>35</v>
      </c>
      <c r="D12" s="11" t="s">
        <v>38</v>
      </c>
      <c r="E12" s="10" t="s">
        <v>21</v>
      </c>
      <c r="F12" s="12">
        <v>0</v>
      </c>
      <c r="G12" s="12">
        <v>14</v>
      </c>
      <c r="H12" s="13">
        <f>G12-F12</f>
        <v>14</v>
      </c>
      <c r="I12" s="14" t="s">
        <v>16</v>
      </c>
      <c r="J12" s="16" t="s">
        <v>39</v>
      </c>
    </row>
    <row r="13" spans="1:10" ht="22.05" customHeight="1" x14ac:dyDescent="0.4">
      <c r="A13" s="10">
        <v>9</v>
      </c>
      <c r="B13" s="10" t="s">
        <v>34</v>
      </c>
      <c r="C13" s="11" t="s">
        <v>35</v>
      </c>
      <c r="D13" s="11" t="s">
        <v>40</v>
      </c>
      <c r="E13" s="10" t="s">
        <v>21</v>
      </c>
      <c r="F13" s="12">
        <v>0</v>
      </c>
      <c r="G13" s="12">
        <v>6</v>
      </c>
      <c r="H13" s="13">
        <f>G13-F13</f>
        <v>6</v>
      </c>
      <c r="I13" s="14" t="s">
        <v>16</v>
      </c>
      <c r="J13" s="11" t="s">
        <v>41</v>
      </c>
    </row>
    <row r="14" spans="1:10" ht="24" customHeight="1" x14ac:dyDescent="0.4">
      <c r="A14" s="17" t="s">
        <v>42</v>
      </c>
      <c r="B14" s="11"/>
      <c r="C14" s="11"/>
      <c r="D14" s="11"/>
      <c r="E14" s="11"/>
      <c r="F14" s="12">
        <f>SUM(F5:F13)</f>
        <v>0</v>
      </c>
      <c r="G14" s="12">
        <f>SUM(G5:G13)</f>
        <v>1503</v>
      </c>
      <c r="H14" s="13">
        <f>G14-F14</f>
        <v>1503</v>
      </c>
      <c r="I14" s="10" t="s">
        <v>16</v>
      </c>
      <c r="J14" s="11" t="s">
        <v>43</v>
      </c>
    </row>
    <row r="16" spans="1:10" ht="25.05" customHeight="1" x14ac:dyDescent="0.4">
      <c r="A16" s="18" t="s">
        <v>44</v>
      </c>
    </row>
    <row r="17" spans="1:10" ht="24" customHeight="1" x14ac:dyDescent="0.4">
      <c r="A17" s="19" t="s">
        <v>2</v>
      </c>
      <c r="B17" s="19" t="s">
        <v>3</v>
      </c>
      <c r="C17" s="19" t="s">
        <v>4</v>
      </c>
      <c r="D17" s="19" t="s">
        <v>45</v>
      </c>
      <c r="E17" s="19" t="s">
        <v>46</v>
      </c>
      <c r="F17" s="19" t="s">
        <v>47</v>
      </c>
      <c r="G17" s="19" t="s">
        <v>48</v>
      </c>
      <c r="H17" s="19" t="s">
        <v>49</v>
      </c>
      <c r="I17" s="19" t="s">
        <v>6</v>
      </c>
      <c r="J17" s="19" t="s">
        <v>50</v>
      </c>
    </row>
    <row r="18" spans="1:10" ht="22.05" customHeight="1" x14ac:dyDescent="0.4">
      <c r="A18" s="20">
        <v>1</v>
      </c>
      <c r="B18" s="6" t="s">
        <v>18</v>
      </c>
      <c r="C18" s="1" t="s">
        <v>51</v>
      </c>
      <c r="D18" s="1" t="s">
        <v>52</v>
      </c>
      <c r="E18" s="6" t="s">
        <v>53</v>
      </c>
      <c r="F18" s="7">
        <v>0</v>
      </c>
      <c r="G18" s="7">
        <v>30</v>
      </c>
      <c r="H18" s="8">
        <f>G18-F18</f>
        <v>30</v>
      </c>
      <c r="I18" s="6" t="s">
        <v>16</v>
      </c>
      <c r="J18" s="1" t="s">
        <v>54</v>
      </c>
    </row>
  </sheetData>
  <mergeCells count="2">
    <mergeCell ref="A1:J1"/>
    <mergeCell ref="A2:J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신규사업_예산수치(박스기준)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나영 김</dc:creator>
  <cp:lastModifiedBy>나영 김</cp:lastModifiedBy>
  <dcterms:created xsi:type="dcterms:W3CDTF">2026-10-20T02:11:28Z</dcterms:created>
  <dcterms:modified xsi:type="dcterms:W3CDTF">2026-10-20T02:11:29Z</dcterms:modified>
</cp:coreProperties>
</file>