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_1020\"/>
    </mc:Choice>
  </mc:AlternateContent>
  <x:bookViews>
    <x:workbookView xWindow="0" yWindow="0" windowWidth="22788" windowHeight="8112"/>
  </x:bookViews>
  <x:sheets>
    <x:sheet name="1_박스기준_예산수치자료" sheetId="1" r:id="rId4"/>
    <x:sheet name="2_중점투자사업_세부내용정리" sheetId="2" r:id="rId5"/>
    <x:sheet name="3_국방예산_총재원현황(붙임1)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<x:sst xmlns:r="http://schemas.openxmlformats.org/officeDocument/2006/relationships" xmlns:c="http://schemas.openxmlformats.org/drawingml/2006/chart" xmlns:x="http://schemas.openxmlformats.org/spreadsheetml/2006/main" count="233" uniqueCount="154">
  <x:si>
    <x:t>▴ AI·유무인 복합체계 예산 55.5% 증가
  (’26) 4,968억원 → (’27) 7,727억원
  - 수송·주둔지 경계·위험물 취급 등 피지컬 AI 실증 신설 (신규 430억원)</x:t>
  </x:si>
  <x:si>
    <x:t>▴ 생성형 AI 챗봇 도입으로 맞춤형 병무상담·민원안내 강화 (신규 19억원)
▴ 병무청 동원훈련 업무 통합관리시스템 구축 (신규 14억원)
▴ 입영·소집 입국 항공여비 지급 (신규 6억원)</x:t>
  </x:si>
  <x:si>
    <x:t>• 생성형 AI 챗봇을 도입하여 병역의무자 눈높이에 맞는 맞춤형 병무상담과 원스톱 민원 안내 서비스 제공 (신규 19억)
• 국방부와 병무청으로 이원화된 예비군 동원훈련 행정업무의 병무청 일원화를 단계적으로 추진하기 위한 통합관리시스템 구축 (신규 14억)
• 국외 병역의무자가 입영(소집)을 위해 입국하는 경우 항공여비를 지원하여 재외국민 병역이행 지원체계 강화 (신규 6억)
※ 대표예산 열은 박스 내 3개 신규사업 합산(19+14+6=39억원)</x:t>
  </x:si>
  <x:si>
    <x:t>▴ 초급간부 처우개선율 5.9% 반영(하사 1호봉 기준 월 300만원 수준)
▴ 부사관 단기복무장려금 인상 (’26) 1,000만원 → (’27) 1,200만원
▴ 단기복무 임관 부사관 적금 매칭지원금 신설(월 최대 30만원, 3년 지원)
▴ 영외 거주간부 급식비 (’26) 월 13.7만원 → (’27) 16만원
▴ 병 단체 상해보험 신규 도입 (신규 69억원)</x:t>
  </x:si>
  <x:si>
    <x:t>• 중·소위 및 중·하사 기본급 처우개선율 5.9% 반영으로 하사 1호봉 기준 보수를 월 300만 원 수준으로 인상 (추가처우개선 소요 316억)
• 부사관 단기복무장려금 인상(1,000→1,200만 원, 총예산 531.5→1,152억) 및 단기복무부사관 적금 매칭 지원금(월 최대 30만 원, 3년, 신규 189억) 신설
• 군 간부 전세자금 이자지원을 간부숙소 미입주자까지 확대하고 지원 기준단가 인상
• 노후 관사·간부숙소 개선 및 부족숙소 확보 지속 투자, 영외거주 간부 급식비 월 16만 원 인상
• 자살·도박 예방, 인권 등 장병 법정의무교육을 민간 전문강사에 위탁하여 간부 부담 경감
• 복무 중 상해 보장 강화를 위해 병 단체 상해보험(신규 69억) 도입
※ 대표예산 열은 단기복무장려금(531.5→1,152억)+추가처우개선(316억)+적금매칭(189억)+병상해보험(69억) 합산 기준</x:t>
  </x:si>
  <x:si>
    <x:t>▴ 상비예비군 확대 (’26) 3,700명 → (’27) 7,000명
▴ 예비군훈련 보상비 인상 (’26) 688억원 → (’27) 903억원
  * 동원Ⅰ형 9.5만원 → 13만원 / 동원Ⅱ형 5만원 → 7만원</x:t>
  </x:si>
  <x:si>
    <x:t>• AI 무기체계 성능을 결정하고 미래전 승패를 좌우할 핵심 반도체 기술 선제 확보 및 공급 기반 구축을 위해 국방반도체 R&amp;D 투자 확대 (신규 565억 / 참고: ’26년 핵심기술 과제비 132억)
• 유·무인 복합체계에 활용되는 첨단항공추진체계 기술개발에 착수하여 항공전력 핵심기술 국내 확보 기반 마련 (신규 90억)
• 레이저(고출력 레이저 하드킬 신규 121억)·양자 등 미래전장 첨단기술 연구개발 지속 확대
※ 대표예산 열은 박스 내 3대 신규투자(565+90+121=776억원) 합산 기준</x:t>
  </x:si>
  <x:si>
    <x:t>• 우수한 민간기술이 국방 분야에 활용될 수 있도록 방산혁신기업 지원 확대 및 유망 기업 기술개발·사업화 뒷받침
• 국내 중소기업 개발 제품·기술의 성능을 실제 군 환경에서 확인하는 실증시험 지원 확대로 피지컬 AI 등 민간 혁신기술 국방 적용 촉진
• 방산 중소기업 해외시장 진출·수출 지원 확대로 ‘기술개발–실증–군 활용–수출’ 방산 생태계 선순환 구조 강화
※ 대표예산 열은 박스 내 4개 사업 합산(’26년 54+659+70+512=1,295억 → ’27년 124+758+170+627=1,679억)</x:t>
  </x:si>
  <x:si>
    <x:t>• 상비예비군을 3,700명에서 7,000명으로 확대하여 병역자원 감소에 대응하고 평시부터 숙련된 예비전력 안정적 활용 기반 강화 (상비예비군 예산: ’26년 87억 → ’27년 256억)
• 예비군훈련 보상비 인상, 과학화 동원훈련장 신규 구축, 훈련 중 민간 의료인력 활용 의무지원 도입으로 훈련여건과 경제적 보상 개선
• GOP대대 부대종합관리, 민통초소 운영, 주둔지 경비 등 비전투분야 민간인력 활용 시범 도입으로 현역 장병의 전투임무 집중 여건 마련</x:t>
  </x:si>
  <x:si>
    <x:t>• 군집드론 연구개발 착수, 중거리 자폭드론·분대급 소형 대인 자폭드론·소형공격드론 등 정찰·감시 및 공격 드론 전력 확충
• 접적지역 대드론 통합체계, 레이저대공무기 Block-Ⅰ 투자 확대 및 이동형 레이저대공무기 Block-Ⅱ 신규 R&amp;D 착수
• 교육용 상용드론 확대, 드론 교육훈련 시뮬레이터 및 대드론 장비 신규 도입으로 현역·예비군 드론 운용역량 체계적 강화
• 품질이 보장되는 드론의 신속확보를 지원하기 위해 한국형 드론인증제도(K-Blue UAS) 신설 추진</x:t>
  </x:si>
  <x:si>
    <x:t>영외 거주간부 급식비 단가 (월)</x:t>
  </x:si>
  <x:si>
    <x:t>부사관 단기복무장려금 지급 단가</x:t>
  </x:si>
  <x:si>
    <x:t>박스 내 (신규 121억원) 표기</x:t>
  </x:si>
  <x:si>
    <x:t xml:space="preserve">    - 주한미군기지이전 특별회계</x:t>
  </x:si>
  <x:si>
    <x:t>입영·소집 입국 항공여비 지급</x:t>
  </x:si>
  <x:si>
    <x:t>▸ ❸ 병무행정 부문 (일반회계)</x:t>
  </x:si>
  <x:si>
    <x:t>국방반도체 기술개발 신규 투자</x:t>
  </x:si>
  <x:si>
    <x:t>박스 안의 핵심 내용 (원문)</x:t>
  </x:si>
  <x:si>
    <x:t>예비군 동원훈련Ⅱ형 보상비 단가</x:t>
  </x:si>
  <x:si>
    <x:t>장병 복무여건 개선 및 복지 강화</x:t>
  </x:si>
  <x:si>
    <x:t>중점 투자사업 추진 목표 (본문)</x:t>
  </x:si>
  <x:si>
    <x:t>전작권 전환 및 자주국방 예산</x:t>
  </x:si>
  <x:si>
    <x:t>전작권 전환 및 자주국방 확충</x:t>
  </x:si>
  <x:si>
    <x:t>예비군 동원훈련Ⅰ형 보상비 단가</x:t>
  </x:si>
  <x:si>
    <x:t>단기복무 임관 부사관 적금 매칭지원금 신설 (월 최대 30만원, 3년 지원)</x:t>
  </x:si>
  <x:si>
    <x:t>박스 내 (신규 6억원) 표기 / 붙임2(p.38) 세부 약 5.59억원</x:t>
  </x:si>
  <x:si>
    <x:t>AI·디지털 기술을 활용하여 병역의무자 편의를 높이는 국민체감형 서비스 확대</x:t>
  </x:si>
  <x:si>
    <x:t>박스 내 (신규 565억원) 표기 / 참고: 붙임2(p.17) ’26년 핵심기술 과제비 132억</x:t>
  </x:si>
  <x:si>
    <x:t>박스 내 단가(1,000→1,200만원) 표기 / 붙임2(p.21) 총예산 531.5억→1,152억</x:t>
  </x:si>
  <x:si>
    <x:t>[참고] 본문 박스 내 비예산 수치 지표 (인원 · 보상비 단가 · 보수 · 장려금 · 급식비 등)</x:t>
  </x:si>
  <x:si>
    <x:t>부사관 단기복무장려금 인상 (’26) 1,000만원 → (’27) 1,200만원</x:t>
  </x:si>
  <x:si>
    <x:t>장병이 자긍심을 갖고 복무할 수 있도록 간부 처우·주거여건 개선 및 병사 복지 강화</x:t>
  </x:si>
  <x:si>
    <x:t>박스 내 (월 최대 30만원, 3년 지원) 표기 / 붙임2(p.22) 신규 189억</x:t>
  </x:si>
  <x:si>
    <x:t>박스 내 (신규 90억원) 표기 / 무인전투기 엔진(+20억) + 첨단항공엔진(+70억)</x:t>
  </x:si>
  <x:si>
    <x:t>병역자원 감소 선제 대응: 현역은 전투임무 집중, 예비전력·민간역량 적극 활용 인력구조 전환</x:t>
  </x:si>
  <x:si>
    <x:t>영외 거주간부 급식비 (’26) 월 13.7만원 → (’27) 월 16만원 (+16.8%)</x:t>
  </x:si>
  <x:si>
    <x:t>2027년 국방예산 8대 중점 투자사업 세부내용 종합 정리 (보도자료 본문 p.2~6)</x:t>
  </x:si>
  <x:si>
    <x:t>자주국방 역량 확충 및 전작권 전환 이후 한국군 주도 연합방위체계 구축 핵심능력 조기 확보</x:t>
  </x:si>
  <x:si>
    <x:t>박스 내 처우개선율 5.9%(월 300만원) 표기 / 붙임2(p.20) 추가처우개선 316억</x:t>
  </x:si>
  <x:si>
    <x:t>박스 내 인원 표기(3,700명→7,000명) / 붙임2(p.26) 예산 87억→256억</x:t>
  </x:si>
  <x:si>
    <x:t>2027년 국방예산 중점 투자사업 (본문 박스 기준) 2026년·2027년 예산 수치자료</x:t>
  </x:si>
  <x:si>
    <x:t>• GOP 과학화 경계시스템 성능개량, 중요시설 경계시스템 강화, 무인지상감시센서 신규 도입으로 AI·무인체계 활용 경계 역량 고도화
• 폭발물 탐지·제거 로봇, 수중자율기뢰탐색체 전력화, 전투용 무인수상정(R&amp;D), 다족보행로봇 등 위험 임무 대체 무인전력 지속 확충
• 수송·주둔지 경계·위험물 취급 등 병력절감 효과가 큰 분야에 피지컬 AI 실증사업(신규 430억)을 추진하여 국방 AI 전환 가속화</x:t>
  </x:si>
  <x:si>
    <x:t>• 한국군 주도 연합방위작전을 위해 공지통신무전기 성능개량 및 연합구성군사령부 전시 군사정보유통체계 신규 구축 등 연합작전 지휘능력 향상
• 중고도정찰용 무인항공기(MUAV)와 장거리지대공유도무기(L-SAM) 조기 전력화로 북한 핵·미사일 위협 대응능력 강화
• KF-21 최초양산 투자 확대 및 후속 양산 추진으로 독자적 방위역량 확충, 핵추진 잠수함 사업 착수로 자주국방 토대 강화</x:t>
  </x:si>
  <x:si>
    <x:t>▴ 드론/대드론 역량강화 예산 18.8% 증가
  (’26) 6,788억원 → (’27) 8,061억원
  - 50만 드론전사 양성을 위한 교육훈련 여건 조성 (’26) 296억원 → (’27) 771억원</x:t>
  </x:si>
  <x:si>
    <x:t>▴ K-방산스타트업 육성 (’26) 54억원 → (’27) 124억원
▴ 방산혁신기업 (’26) 659억원 → (’27) 758억원
▴ 중소기업 기술 軍 실증시험 지원사업 (’26) 70억원 → (’27) 170억원
▴ 중소기업 수출 패키지 지원 (’26) 512억원 → (’27) 627억원</x:t>
  </x:si>
  <x:si>
    <x:t>박스 내 (신규 19억원) 표기 / 붙임2(p.36) 세부 19.32억원</x:t>
  </x:si>
  <x:si>
    <x:t>박스 내 (신규 14억원) 표기 / 붙임2(p.37) 세부 약 13.5억원</x:t>
  </x:si>
  <x:si>
    <x:t>(’26) 9조 222억원 → (’27) 12조 1,744억원 (+34.9%)</x:t>
  </x:si>
  <x:si>
    <x:t>’26년 공통 3.5%(+추가 최대 3.1%) → ’27년 최대 5.9%(공통 3.9%+추가 2.0%) / 하사 1호봉 월 300만원 수준</x:t>
  </x:si>
  <x:si>
    <x:t>▴ 전작권 전환 및 자주국방 예산 34.9% 증가
  (’26) 9조 222억원 → (’27) 12조 1,744억원</x:t>
  </x:si>
  <x:si>
    <x:t>본문 박스(p.5): (’26) 70억원 → (’27) 170억원 / 붙임2(p.34): 78억 → 174억</x:t>
  </x:si>
  <x:si>
    <x:t>※ 출처: 2027년 국방예산 정부안 편성 보도자료(p.2~6 박스 내 수치 및 붙임2 연계 수치) | 예산 단위: 억 원 (신규 사업의 ’26년 예산은 0원으로 표기)</x:t>
  </x:si>
  <x:si>
    <x:t>(’26) 54억원 → (’27) 124억원 (+129.6%)</x:t>
  </x:si>
  <x:si>
    <x:t>(’26) 296억원 → (’27) 771억원 (+160.5%)</x:t>
  </x:si>
  <x:si>
    <x:t>초급간부 처우개선율 5.9% 반영 (추가 +2.0%p 소요)</x:t>
  </x:si>
  <x:si>
    <x:t>기술주권 확보 및 첨단산업 육성을 위한 미래 국방기술 투자 확대</x:t>
  </x:si>
  <x:si>
    <x:t>부사관 단기복무장려금 인상 (1,000만원 → 1,200만원)</x:t>
  </x:si>
  <x:si>
    <x:t>(’26) 688억원 → (’27) 903억원 (+31.3%)</x:t>
  </x:si>
  <x:si>
    <x:t>(’26) 659억원 → (’27) 758억원 (+15.0%)</x:t>
  </x:si>
  <x:si>
    <x:t>(’26) 512억원 → (’27) 627억원 (+22.5%)</x:t>
  </x:si>
  <x:si>
    <x:t>└ 수송·주둔지 경계·위험물 취급 등 피지컬 AI 실증 신설</x:t>
  </x:si>
  <x:si>
    <x:t xml:space="preserve">  • 내부거래</x:t>
  </x:si>
  <x:si>
    <x:t xml:space="preserve">    - 병력운영비</x:t>
  </x:si>
  <x:si>
    <x:t xml:space="preserve">  • 일반회계</x:t>
  </x:si>
  <x:si>
    <x:t>▸ ❶ 전력운영 부문</x:t>
  </x:si>
  <x:si>
    <x:t>총지출 (❶+❷+❸)</x:t>
  </x:si>
  <x:si>
    <x:t xml:space="preserve">    - 전력유지비</x:t>
  </x:si>
  <x:si>
    <x:t>증감액 (억원)</x:t>
  </x:si>
  <x:si>
    <x:t xml:space="preserve">  • 특별회계·기금</x:t>
  </x:si>
  <x:si>
    <x:t>(’26) 4,968억원 → (’27) 7,727억원 (+55.5%)</x:t>
  </x:si>
  <x:si>
    <x:t>상비예비군 확대 (’26) 3,700명 → (’27) 7,000명</x:t>
  </x:si>
  <x:si>
    <x:t>박스 내 (신규 430억원) 표기 — AI·유무인 복합체계 내역사업</x:t>
  </x:si>
  <x:si>
    <x:t>(’26) 6,788억원 → (’27) 8,061억원 (+18.8%)</x:t>
  </x:si>
  <x:si>
    <x:t>드론을 주요 전투수단으로 활용하고 다양한 드론 위협 대응 방어체계 강화</x:t>
  </x:si>
  <x:si>
    <x:t>우수한 기술을 보유한 중소·벤처기업의 방산 분야 진입과 성장 적극 지원</x:t>
  </x:si>
  <x:si>
    <x:t>박스 내 (신규 69억원) 표기 / 현역·상근예비역 약 29만명 대상</x:t>
  </x:si>
  <x:si>
    <x:t>[붙임 1] 2027년 국방예산 총 재원 현황 (단위: 억 원, %)</x:t>
  </x:si>
  <x:si>
    <x:t>박스 직접예산(신규)</x:t>
  </x:si>
  <x:si>
    <x:t>붙임2 연계예산</x:t>
  </x:si>
  <x:si>
    <x:t>박스 내역(신규)</x:t>
  </x:si>
  <x:si>
    <x:t>K-방산스타트업 육성</x:t>
  </x:si>
  <x:si>
    <x:t>박스 내 지표명</x:t>
  </x:si>
  <x:si>
    <x:t>2026년 수치</x:t>
  </x:si>
  <x:si>
    <x:t>미래 병력구조 개편</x:t>
  </x:si>
  <x:si>
    <x:t>2027년 수치</x:t>
  </x:si>
  <x:si>
    <x:t>상비예비군 운영 규모</x:t>
  </x:si>
  <x:si>
    <x:t>장병 복무여건 개선</x:t>
  </x:si>
  <x:si>
    <x:t>중점 투자사업 분야</x:t>
  </x:si>
  <x:si>
    <x:t>드론·대드론 역량 강화</x:t>
  </x:si>
  <x:si>
    <x:t>2026년 예산(억원)</x:t>
  </x:si>
  <x:si>
    <x:t>예비군훈련 보상비 인상</x:t>
  </x:si>
  <x:si>
    <x:t>2027년 예산(억원)</x:t>
  </x:si>
  <x:si>
    <x:t>드론/대드론 역량강화 예산</x:t>
  </x:si>
  <x:si>
    <x:t>비고 (박스 원문 내용)</x:t>
  </x:si>
  <x:si>
    <x:t>초급간부 기본급 처우개선율</x:t>
  </x:si>
  <x:si>
    <x:t>2026년 대표예산(억원)</x:t>
  </x:si>
  <x:si>
    <x:t>붙임2 연계예산(신규)</x:t>
  </x:si>
  <x:si>
    <x:t>2027년 정부안 (억원)</x:t>
  </x:si>
  <x:si>
    <x:t>박스 원문 표기 및 참고사항</x:t>
  </x:si>
  <x:si>
    <x:t>미래 국방기술 투자 확대</x:t>
  </x:si>
  <x:si>
    <x:t>중소기업 수출 패키지 지원</x:t>
  </x:si>
  <x:si>
    <x:t>2027년 대표예산(억원)</x:t>
  </x:si>
  <x:si>
    <x:t>2026년 예산 (억원)</x:t>
  </x:si>
  <x:si>
    <x:t>박스 내 세부 사업·항목명</x:t>
  </x:si>
  <x:si>
    <x:t>AI·유무인 복합체계 예산</x:t>
  </x:si>
  <x:si>
    <x:t>병 단체 상해보험 신규 도입</x:t>
  </x:si>
  <x:si>
    <x:t xml:space="preserve">  • 내부거래·보전지출</x:t>
  </x:si>
  <x:si>
    <x:t xml:space="preserve">    - 군인복지기금</x:t>
  </x:si>
  <x:si>
    <x:t xml:space="preserve">    - 군인연금기금</x:t>
  </x:si>
  <x:si>
    <x:t>▸ ❷ 방위력개선 부문</x:t>
  </x:si>
  <x:si>
    <x:t>신규</x:t>
  </x:si>
  <x:si>
    <x:t>②</x:t>
  </x:si>
  <x:si>
    <x:t>명</x:t>
  </x:si>
  <x:si>
    <x:t>%</x:t>
  </x:si>
  <x:si>
    <x:t>만 원</x:t>
  </x:si>
  <x:si>
    <x:t>구 분</x:t>
  </x:si>
  <x:si>
    <x:t>⑤</x:t>
  </x:si>
  <x:si>
    <x:t>④</x:t>
  </x:si>
  <x:si>
    <x:t>증감률</x:t>
  </x:si>
  <x:si>
    <x:t>①</x:t>
  </x:si>
  <x:si>
    <x:t>구분</x:t>
  </x:si>
  <x:si>
    <x:t>증감폭</x:t>
  </x:si>
  <x:si>
    <x:t>③</x:t>
  </x:si>
  <x:si>
    <x:t>⑦</x:t>
  </x:si>
  <x:si>
    <x:t>단위</x:t>
  </x:si>
  <x:si>
    <x:t>⑧</x:t>
  </x:si>
  <x:si>
    <x:t>⑥</x:t>
  </x:si>
  <x:si>
    <x:t>└ 50만 드론전사 양성을 위한 교육훈련 여건 조성</x:t>
  </x:si>
  <x:si>
    <x:t>중소기업 기술 軍 실증시험 지원사업 (본문 박스 기준)</x:t>
  </x:si>
  <x:si>
    <x:t>생성형 AI 챗봇 도입 맞춤형 병무상담·민원안내 강화</x:t>
  </x:si>
  <x:si>
    <x:t>AI와 유·무인 복합체계를 활용하는 첨단 전력으로 전환</x:t>
  </x:si>
  <x:si>
    <x:t>▴ 국방반도체 기술개발 신규 투자 (신규 565억원)
▴ 한국형 첨단항공추진체계 기술 개발 투자 확대 (신규 90억원)
▴ 고출력 레이저 기반 하드킬 기술 확보 (신규 121억원)</x:t>
  </x:si>
  <x:si>
    <x:t>한국형 첨단항공추진체계 기술 개발 투자 확대</x:t>
  </x:si>
  <x:si>
    <x:t>단기복무 임관 부사관 적금 매칭지원금 (월 최대)</x:t>
  </x:si>
  <x:si>
    <x:t>상비예비군 확대 (3,700명 → 7,000명)</x:t>
  </x:si>
  <x:si>
    <x:t>동원Ⅰ형 9.5만원 → 13만원 (+36.8%)</x:t>
  </x:si>
  <x:si>
    <x:t>병무청 동원훈련 업무 통합관리시스템 구축</x:t>
  </x:si>
  <x:si>
    <x:t>미래 병력구조 개편 (예비·민간역량)</x:t>
  </x:si>
  <x:si>
    <x:t>단기복무 임관 부사관 적금 매칭지원금 신설</x:t>
  </x:si>
  <x:si>
    <x:t>세부 추진 내용 (본문 불릿 전체 정리)</x:t>
  </x:si>
  <x:si>
    <x:t>AI·유무인 복합체계 첨단 전력 전환</x:t>
  </x:si>
  <x:si>
    <x:t>중소·벤처기업 방산 진입 및 성장 지원</x:t>
  </x:si>
  <x:si>
    <x:t>고출력 레이저 기반 하드킬 기술 확보</x:t>
  </x:si>
  <x:si>
    <x:t>동원Ⅱ형 5만원 → 7만원 (+40.0%)</x:t>
  </x:si>
  <x:si>
    <x:t xml:space="preserve">    - 국방·군사시설이전 특별회계</x:t>
  </x:si>
  <x:si>
    <x:t>AI·디지털 국민체감형 병무서비스 확대</x:t>
  </x:si>
  <x:si>
    <x:t>증감액(억원)</x:t>
  </x:si>
  <x:si>
    <x:t>분야번호</x:t>
  </x:si>
  <x:si>
    <x:t>박스 내역사업</x:t>
  </x:si>
  <x:si>
    <x:t>중점분야 총괄</x:t>
  </x:si>
  <x:si>
    <x:t>방산혁신기업</x:t>
  </x:si>
  <x:si>
    <x:t>만 원/월</x:t>
  </x:si>
  <x:si>
    <x:t>박스 직접예산</x:t>
  </x:si>
  <x:si>
    <x:t>증감률 (%)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</x:si>
</x:sst>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6">
    <x:numFmt numFmtId="164" formatCode="#,##0.0"/>
    <x:numFmt numFmtId="165" formatCode="\+#,##0.0;\-#,##0.0;0"/>
    <x:numFmt numFmtId="166" formatCode="\+#,##0;\-#,##0;0"/>
    <x:numFmt numFmtId="167" formatCode="0.0%"/>
    <x:numFmt numFmtId="168" formatCode="#,##0.#"/>
    <x:numFmt numFmtId="169" formatCode="\+#,##0.#;\-#,##0.#;0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x:font>
      <x:name val="맑은 고딕"/>
      <x:sz val="14"/>
      <x:color rgb="ff1e293b"/>
      <x:b val="1"/>
    </x:font>
    <x:font>
      <x:name val="맑은 고딕"/>
      <x:sz val="9.5"/>
      <x:color rgb="ff000000"/>
    </x:font>
    <x:font>
      <x:name val="맑은 고딕"/>
      <x:sz val="14"/>
      <x:color rgb="ff000000"/>
      <x:b val="1"/>
    </x:font>
  </x:fonts>
  <x:fills count="9">
    <x:fill>
      <x:patternFill patternType="none"/>
    </x:fill>
    <x:fill>
      <x:patternFill patternType="gray125"/>
    </x:fill>
    <x:fill>
      <x:patternFill patternType="solid">
        <x:fgColor rgb="ffe0e7ff"/>
        <x:bgColor indexed="64"/>
      </x:patternFill>
    </x:fill>
    <x:fill>
      <x:patternFill patternType="solid">
        <x:fgColor rgb="fff8fafc"/>
        <x:bgColor indexed="64"/>
      </x:patternFill>
    </x:fill>
    <x:fill>
      <x:patternFill patternType="solid">
        <x:fgColor rgb="ffd1fae5"/>
        <x:bgColor indexed="64"/>
      </x:patternFill>
    </x:fill>
    <x:fill>
      <x:patternFill patternType="solid">
        <x:fgColor rgb="fff3e8ff"/>
        <x:bgColor indexed="64"/>
      </x:patternFill>
    </x:fill>
    <x:fill>
      <x:patternFill patternType="solid">
        <x:fgColor rgb="fffef3c7"/>
        <x:bgColor indexed="64"/>
      </x:patternFill>
    </x:fill>
    <x:fill>
      <x:patternFill patternType="solid">
        <x:fgColor rgb="ffffe4e6"/>
        <x:bgColor indexed="64"/>
      </x:patternFill>
    </x:fill>
    <x:fill>
      <x:patternFill patternType="solid">
        <x:fgColor rgb="ffeef2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>
      <x:alignment horizontal="general" vertical="center"/>
    </x:xf>
  </x:cellStyleXfs>
  <x:cellXfs count="38"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>
      <x:alignment horizontal="general" vertical="center"/>
    </x:xf>
    <x:xf numFmtId="3" fontId="6" fillId="0" borderId="1" xfId="0" applyNumberFormat="1" applyFont="1" applyBorder="1">
      <x:alignment horizontal="general" vertical="center"/>
    </x:xf>
    <x:xf numFmtId="166" fontId="6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center"/>
        </x:xf>
      </mc:Fallback>
    </mc:AlternateContent>
    <x:xf numFmtId="164" fontId="6" fillId="0" borderId="1" xfId="0" applyNumberFormat="1" applyFont="1" applyBorder="1">
      <x:alignment horizontal="general" vertical="center"/>
    </x:xf>
    <x:xf numFmtId="165" fontId="6" fillId="0" borderId="1" xfId="0" applyNumberFormat="1" applyFont="1" applyBorder="1">
      <x:alignment horizontal="general" vertical="center"/>
    </x:xf>
    <x:xf numFmtId="0" fontId="8" fillId="4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0" applyNumberFormat="1" applyFont="1" applyFill="1" applyAlignment="1">
          <x:alignment horizontal="center" vertical="center"/>
        </x:xf>
      </mc:Fallback>
    </mc:AlternateContent>
    <x:xf numFmtId="168" fontId="6" fillId="0" borderId="0" xfId="0" applyNumberFormat="1" applyFont="1">
      <x:alignment horizontal="general" vertical="center"/>
    </x:xf>
    <x:xf numFmtId="169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NumberFormat="1" applyFont="1" applyFill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general" vertical="center" wrapText="1"/>
    </x:xf>
    <x:xf numFmtId="0" fontId="6" fillId="6" borderId="1" xfId="0" applyNumberFormat="1" applyFont="1" applyFill="1" applyBorder="1" applyAlignment="1">
      <x:alignment horizontal="general" vertical="center" wrapText="1"/>
    </x:xf>
    <x:xf numFmtId="169" fontId="6" fillId="0" borderId="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" xfId="0" applyNumberFormat="1" applyFont="1" applyFill="1" applyBorder="1" applyAlignment="1">
          <x:alignment horizontal="center" vertical="center"/>
        </x:xf>
      </mc:Fallback>
    </mc:AlternateContent>
    <x:xf numFmtId="0" fontId="7" fillId="8" borderId="1" xfId="0" applyNumberFormat="1" applyFont="1" applyFill="1" applyBorder="1">
      <x:alignment horizontal="general" vertical="center"/>
    </x:xf>
    <x:xf numFmtId="167" fontId="6" fillId="0" borderId="1" xfId="0" applyNumberFormat="1" applyFont="1" applyBorder="1">
      <x:alignment horizontal="general" vertical="center"/>
    </x:xf>
    <x:xf numFmtId="0" fontId="9" fillId="2" borderId="0" xfId="0" applyNumberFormat="1" applyFont="1" applyFill="1" applyAlignment="1">
      <x:alignment horizontal="general" vertical="center"/>
    </x:xf>
    <x:xf numFmtId="0" fontId="6" fillId="2" borderId="0" xfId="0" applyNumberFormat="1" applyFont="1" applyFill="1" applyAlignment="1">
      <x:alignment horizontal="general" vertical="center"/>
    </x:xf>
    <x:xf numFmtId="0" fontId="10" fillId="3" borderId="0" xfId="0" applyNumberFormat="1" applyFont="1" applyFill="1" applyAlignment="1">
      <x:alignment horizontal="general" vertical="center"/>
    </x:xf>
    <x:xf numFmtId="0" fontId="6" fillId="3" borderId="0" xfId="0" applyNumberFormat="1" applyFont="1" applyFill="1" applyAlignment="1">
      <x:alignment horizontal="general" vertical="center"/>
    </x:xf>
    <x:xf numFmtId="0" fontId="11" fillId="5" borderId="0" xfId="0" applyNumberFormat="1" applyFont="1" applyFill="1" applyAlignment="1">
      <x:alignment horizontal="general" vertical="center"/>
    </x:xf>
    <x:xf numFmtId="0" fontId="6" fillId="5" borderId="0" xfId="0" applyNumberFormat="1" applyFont="1" applyFill="1" applyAlignment="1">
      <x:alignment horizontal="general" vertical="center"/>
    </x:xf>
    <x:xf numFmtId="0" fontId="11" fillId="7" borderId="0" xfId="0" applyNumberFormat="1" applyFont="1" applyFill="1" applyAlignment="1">
      <x:alignment horizontal="general" vertical="center"/>
    </x:xf>
    <x:xf numFmtId="0" fontId="6" fillId="7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5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41" fontId="6" fillId="0" borderId="0" xfId="0" applyNumberFormat="1" applyFont="1" applyFill="1" applyBorder="1" applyAlignment="1" applyProtection="1">
      <x:alignment horizontal="general" vertical="center"/>
    </x:xf>
    <x:xf numFmtId="41" fontId="6" fillId="5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7" fillId="5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5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41" fontId="6" fillId="0" borderId="1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36"/>
  <x:sheetViews>
    <x:sheetView tabSelected="1" topLeftCell="A1" zoomScaleNormal="75" zoomScaleSheetLayoutView="100" workbookViewId="0">
      <x:selection activeCell="A1" activeCellId="0" sqref="A1:I1"/>
    </x:sheetView>
  </x:sheetViews>
  <x:sheetFormatPr defaultColWidth="8.796875" defaultRowHeight="13.19999999999999928946"/>
  <x:cols>
    <x:col min="1" max="1" width="9.69921875" style="1" customWidth="1"/>
    <x:col min="2" max="2" width="30.69921875" style="1" customWidth="1"/>
    <x:col min="3" max="3" width="44.69921875" style="1" customWidth="1"/>
    <x:col min="4" max="6" width="18.69921875" style="1" customWidth="1"/>
    <x:col min="7" max="7" width="16.69921875" style="1" customWidth="1"/>
    <x:col min="8" max="8" width="12.69921875" style="1" customWidth="1"/>
    <x:col min="9" max="9" width="58.69921875" style="1" customWidth="1"/>
    <x:col min="10" max="16384" width="8.796875" style="1"/>
  </x:cols>
  <x:sheetData>
    <x:row r="1" spans="1:9" ht="31.94999999999999928946" customHeight="1">
      <x:c r="A1" s="25" t="s">
        <x:v>40</x:v>
      </x:c>
      <x:c r="B1" s="26"/>
      <x:c r="C1" s="26"/>
      <x:c r="D1" s="26"/>
      <x:c r="E1" s="26"/>
      <x:c r="F1" s="26"/>
      <x:c r="G1" s="26"/>
      <x:c r="H1" s="26"/>
      <x:c r="I1" s="26"/>
    </x:row>
    <x:row r="2" spans="1:9" ht="19.94999999999999928946" customHeight="1">
      <x:c r="A2" s="27" t="s">
        <x:v>51</x:v>
      </x:c>
      <x:c r="B2" s="28"/>
      <x:c r="C2" s="28"/>
      <x:c r="D2" s="28"/>
      <x:c r="E2" s="28"/>
      <x:c r="F2" s="28"/>
      <x:c r="G2" s="28"/>
      <x:c r="H2" s="28"/>
      <x:c r="I2" s="28"/>
    </x:row>
    <x:row r="4" spans="1:9" ht="25.05000000000000071054" customHeight="1">
      <x:c r="A4" s="4" t="s">
        <x:v>147</x:v>
      </x:c>
      <x:c r="B4" s="4" t="s">
        <x:v>87</x:v>
      </x:c>
      <x:c r="C4" s="4" t="s">
        <x:v>103</x:v>
      </x:c>
      <x:c r="D4" s="4" t="s">
        <x:v>120</x:v>
      </x:c>
      <x:c r="E4" s="4" t="s">
        <x:v>89</x:v>
      </x:c>
      <x:c r="F4" s="4" t="s">
        <x:v>91</x:v>
      </x:c>
      <x:c r="G4" s="4" t="s">
        <x:v>146</x:v>
      </x:c>
      <x:c r="H4" s="4" t="s">
        <x:v>118</x:v>
      </x:c>
      <x:c r="I4" s="4" t="s">
        <x:v>98</x:v>
      </x:c>
    </x:row>
    <x:row r="5" spans="1:9" ht="21" customHeight="1">
      <x:c r="A5" s="5" t="s">
        <x:v>119</x:v>
      </x:c>
      <x:c r="B5" s="6" t="s">
        <x:v>22</x:v>
      </x:c>
      <x:c r="C5" s="6" t="s">
        <x:v>21</x:v>
      </x:c>
      <x:c r="D5" s="5" t="s">
        <x:v>149</x:v>
      </x:c>
      <x:c r="E5" s="7">
        <x:v>90222</x:v>
      </x:c>
      <x:c r="F5" s="7">
        <x:v>121744</x:v>
      </x:c>
      <x:c r="G5" s="8">
        <x:f>F5-E5</x:f>
        <x:v>31522</x:v>
      </x:c>
      <x:c r="H5" s="9">
        <x:f>IF(E5&gt;0,(F5-E5)/E5,"신규")</x:f>
        <x:v>0.34938263394737423</x:v>
      </x:c>
      <x:c r="I5" s="6" t="s">
        <x:v>47</x:v>
      </x:c>
    </x:row>
    <x:row r="6" spans="1:9" ht="21" customHeight="1">
      <x:c r="A6" s="10" t="s">
        <x:v>111</x:v>
      </x:c>
      <x:c r="B6" s="6" t="s">
        <x:v>137</x:v>
      </x:c>
      <x:c r="C6" s="6" t="s">
        <x:v>90</x:v>
      </x:c>
      <x:c r="D6" s="5" t="s">
        <x:v>152</x:v>
      </x:c>
      <x:c r="E6" s="7">
        <x:v>688</x:v>
      </x:c>
      <x:c r="F6" s="7">
        <x:v>903</x:v>
      </x:c>
      <x:c r="G6" s="8">
        <x:f>F6-E6</x:f>
        <x:v>215</x:v>
      </x:c>
      <x:c r="H6" s="9">
        <x:f>IF(E6&gt;0,(F6-E6)/E6,"신규")</x:f>
        <x:v>0.3125</x:v>
      </x:c>
      <x:c r="I6" s="6" t="s">
        <x:v>57</x:v>
      </x:c>
    </x:row>
    <x:row r="7" spans="1:9" ht="21" customHeight="1">
      <x:c r="A7" s="5" t="s">
        <x:v>111</x:v>
      </x:c>
      <x:c r="B7" s="6" t="s">
        <x:v>137</x:v>
      </x:c>
      <x:c r="C7" s="6" t="s">
        <x:v>134</x:v>
      </x:c>
      <x:c r="D7" s="5" t="s">
        <x:v>78</x:v>
      </x:c>
      <x:c r="E7" s="7">
        <x:v>87</x:v>
      </x:c>
      <x:c r="F7" s="7">
        <x:v>256</x:v>
      </x:c>
      <x:c r="G7" s="8">
        <x:f>F7-E7</x:f>
        <x:v>169</x:v>
      </x:c>
      <x:c r="H7" s="9">
        <x:f>IF(E7&gt;0,(F7-E7)/E7,"신규")</x:f>
        <x:v>1.9425287356321839</x:v>
      </x:c>
      <x:c r="I7" s="6" t="s">
        <x:v>39</x:v>
      </x:c>
    </x:row>
    <x:row r="8" spans="1:9" ht="21" customHeight="1">
      <x:c r="A8" s="10" t="s">
        <x:v>122</x:v>
      </x:c>
      <x:c r="B8" s="6" t="s">
        <x:v>140</x:v>
      </x:c>
      <x:c r="C8" s="6" t="s">
        <x:v>104</x:v>
      </x:c>
      <x:c r="D8" s="5" t="s">
        <x:v>149</x:v>
      </x:c>
      <x:c r="E8" s="7">
        <x:v>4968</x:v>
      </x:c>
      <x:c r="F8" s="7">
        <x:v>7727</x:v>
      </x:c>
      <x:c r="G8" s="8">
        <x:f>F8-E8</x:f>
        <x:v>2759</x:v>
      </x:c>
      <x:c r="H8" s="9">
        <x:f>IF(E8&gt;0,(F8-E8)/E8,"신규")</x:f>
        <x:v>0.55535426731078907</x:v>
      </x:c>
      <x:c r="I8" s="6" t="s">
        <x:v>69</x:v>
      </x:c>
    </x:row>
    <x:row r="9" spans="1:9" ht="21" customHeight="1">
      <x:c r="A9" s="5" t="s">
        <x:v>122</x:v>
      </x:c>
      <x:c r="B9" s="6" t="s">
        <x:v>140</x:v>
      </x:c>
      <x:c r="C9" s="6" t="s">
        <x:v>60</x:v>
      </x:c>
      <x:c r="D9" s="5" t="s">
        <x:v>79</x:v>
      </x:c>
      <x:c r="E9" s="7">
        <x:v>0</x:v>
      </x:c>
      <x:c r="F9" s="7">
        <x:v>430</x:v>
      </x:c>
      <x:c r="G9" s="8">
        <x:f>F9-E9</x:f>
        <x:v>430</x:v>
      </x:c>
      <x:c r="H9" s="9" t="str">
        <x:f>IF(E9&gt;0,(F9-E9)/E9,"신규")</x:f>
        <x:v>신규</x:v>
      </x:c>
      <x:c r="I9" s="6" t="s">
        <x:v>71</x:v>
      </x:c>
    </x:row>
    <x:row r="10" spans="1:9" ht="21" customHeight="1">
      <x:c r="A10" s="10" t="s">
        <x:v>117</x:v>
      </x:c>
      <x:c r="B10" s="6" t="s">
        <x:v>88</x:v>
      </x:c>
      <x:c r="C10" s="6" t="s">
        <x:v>92</x:v>
      </x:c>
      <x:c r="D10" s="5" t="s">
        <x:v>149</x:v>
      </x:c>
      <x:c r="E10" s="7">
        <x:v>6788</x:v>
      </x:c>
      <x:c r="F10" s="7">
        <x:v>8061</x:v>
      </x:c>
      <x:c r="G10" s="8">
        <x:f>F10-E10</x:f>
        <x:v>1273</x:v>
      </x:c>
      <x:c r="H10" s="9">
        <x:f>IF(E10&gt;0,(F10-E10)/E10,"신규")</x:f>
        <x:v>0.18753682969946966</x:v>
      </x:c>
      <x:c r="I10" s="6" t="s">
        <x:v>72</x:v>
      </x:c>
    </x:row>
    <x:row r="11" spans="1:9" ht="21" customHeight="1">
      <x:c r="A11" s="5" t="s">
        <x:v>117</x:v>
      </x:c>
      <x:c r="B11" s="6" t="s">
        <x:v>88</x:v>
      </x:c>
      <x:c r="C11" s="6" t="s">
        <x:v>127</x:v>
      </x:c>
      <x:c r="D11" s="5" t="s">
        <x:v>148</x:v>
      </x:c>
      <x:c r="E11" s="7">
        <x:v>296</x:v>
      </x:c>
      <x:c r="F11" s="7">
        <x:v>771</x:v>
      </x:c>
      <x:c r="G11" s="8">
        <x:f>F11-E11</x:f>
        <x:v>475</x:v>
      </x:c>
      <x:c r="H11" s="9">
        <x:f>IF(E11&gt;0,(F11-E11)/E11,"신규")</x:f>
        <x:v>1.6047297297297298</x:v>
      </x:c>
      <x:c r="I11" s="6" t="s">
        <x:v>53</x:v>
      </x:c>
    </x:row>
    <x:row r="12" spans="1:9" ht="21" customHeight="1">
      <x:c r="A12" s="10" t="s">
        <x:v>116</x:v>
      </x:c>
      <x:c r="B12" s="6" t="s">
        <x:v>19</x:v>
      </x:c>
      <x:c r="C12" s="6" t="s">
        <x:v>105</x:v>
      </x:c>
      <x:c r="D12" s="5" t="s">
        <x:v>77</x:v>
      </x:c>
      <x:c r="E12" s="7">
        <x:v>0</x:v>
      </x:c>
      <x:c r="F12" s="7">
        <x:v>69</x:v>
      </x:c>
      <x:c r="G12" s="8">
        <x:f>F12-E12</x:f>
        <x:v>69</x:v>
      </x:c>
      <x:c r="H12" s="9" t="str">
        <x:f>IF(E12&gt;0,(F12-E12)/E12,"신규")</x:f>
        <x:v>신규</x:v>
      </x:c>
      <x:c r="I12" s="6" t="s">
        <x:v>75</x:v>
      </x:c>
    </x:row>
    <x:row r="13" spans="1:9" ht="21" customHeight="1">
      <x:c r="A13" s="5" t="s">
        <x:v>116</x:v>
      </x:c>
      <x:c r="B13" s="6" t="s">
        <x:v>19</x:v>
      </x:c>
      <x:c r="C13" s="6" t="s">
        <x:v>54</x:v>
      </x:c>
      <x:c r="D13" s="5" t="s">
        <x:v>78</x:v>
      </x:c>
      <x:c r="E13" s="7">
        <x:v>0</x:v>
      </x:c>
      <x:c r="F13" s="7">
        <x:v>316</x:v>
      </x:c>
      <x:c r="G13" s="8">
        <x:f>F13-E13</x:f>
        <x:v>316</x:v>
      </x:c>
      <x:c r="H13" s="9" t="str">
        <x:f>IF(E13&gt;0,(F13-E13)/E13,"신규")</x:f>
        <x:v>신규</x:v>
      </x:c>
      <x:c r="I13" s="6" t="s">
        <x:v>38</x:v>
      </x:c>
    </x:row>
    <x:row r="14" spans="1:9" ht="21" customHeight="1">
      <x:c r="A14" s="10" t="s">
        <x:v>116</x:v>
      </x:c>
      <x:c r="B14" s="6" t="s">
        <x:v>19</x:v>
      </x:c>
      <x:c r="C14" s="6" t="s">
        <x:v>56</x:v>
      </x:c>
      <x:c r="D14" s="5" t="s">
        <x:v>78</x:v>
      </x:c>
      <x:c r="E14" s="11">
        <x:v>531.5</x:v>
      </x:c>
      <x:c r="F14" s="7">
        <x:v>1152</x:v>
      </x:c>
      <x:c r="G14" s="12">
        <x:f>F14-E14</x:f>
        <x:v>620.5</x:v>
      </x:c>
      <x:c r="H14" s="9">
        <x:f>IF(E14&gt;0,(F14-E14)/E14,"신규")</x:f>
        <x:v>1.1674506114769521</x:v>
      </x:c>
      <x:c r="I14" s="6" t="s">
        <x:v>28</x:v>
      </x:c>
    </x:row>
    <x:row r="15" spans="1:9" ht="21" customHeight="1">
      <x:c r="A15" s="5" t="s">
        <x:v>116</x:v>
      </x:c>
      <x:c r="B15" s="6" t="s">
        <x:v>19</x:v>
      </x:c>
      <x:c r="C15" s="6" t="s">
        <x:v>138</x:v>
      </x:c>
      <x:c r="D15" s="5" t="s">
        <x:v>96</x:v>
      </x:c>
      <x:c r="E15" s="7">
        <x:v>0</x:v>
      </x:c>
      <x:c r="F15" s="7">
        <x:v>189</x:v>
      </x:c>
      <x:c r="G15" s="8">
        <x:f>F15-E15</x:f>
        <x:v>189</x:v>
      </x:c>
      <x:c r="H15" s="9" t="str">
        <x:f>IF(E15&gt;0,(F15-E15)/E15,"신규")</x:f>
        <x:v>신규</x:v>
      </x:c>
      <x:c r="I15" s="6" t="s">
        <x:v>32</x:v>
      </x:c>
    </x:row>
    <x:row r="16" spans="1:9" ht="21" customHeight="1">
      <x:c r="A16" s="10" t="s">
        <x:v>126</x:v>
      </x:c>
      <x:c r="B16" s="6" t="s">
        <x:v>99</x:v>
      </x:c>
      <x:c r="C16" s="6" t="s">
        <x:v>16</x:v>
      </x:c>
      <x:c r="D16" s="5" t="s">
        <x:v>77</x:v>
      </x:c>
      <x:c r="E16" s="7">
        <x:v>0</x:v>
      </x:c>
      <x:c r="F16" s="7">
        <x:v>565</x:v>
      </x:c>
      <x:c r="G16" s="8">
        <x:f>F16-E16</x:f>
        <x:v>565</x:v>
      </x:c>
      <x:c r="H16" s="9" t="str">
        <x:f>IF(E16&gt;0,(F16-E16)/E16,"신규")</x:f>
        <x:v>신규</x:v>
      </x:c>
      <x:c r="I16" s="6" t="s">
        <x:v>27</x:v>
      </x:c>
    </x:row>
    <x:row r="17" spans="1:9" ht="21" customHeight="1">
      <x:c r="A17" s="5" t="s">
        <x:v>126</x:v>
      </x:c>
      <x:c r="B17" s="6" t="s">
        <x:v>99</x:v>
      </x:c>
      <x:c r="C17" s="6" t="s">
        <x:v>132</x:v>
      </x:c>
      <x:c r="D17" s="5" t="s">
        <x:v>77</x:v>
      </x:c>
      <x:c r="E17" s="7">
        <x:v>0</x:v>
      </x:c>
      <x:c r="F17" s="7">
        <x:v>90</x:v>
      </x:c>
      <x:c r="G17" s="8">
        <x:f>F17-E17</x:f>
        <x:v>90</x:v>
      </x:c>
      <x:c r="H17" s="9" t="str">
        <x:f>IF(E17&gt;0,(F17-E17)/E17,"신규")</x:f>
        <x:v>신규</x:v>
      </x:c>
      <x:c r="I17" s="6" t="s">
        <x:v>33</x:v>
      </x:c>
    </x:row>
    <x:row r="18" spans="1:9" ht="21" customHeight="1">
      <x:c r="A18" s="10" t="s">
        <x:v>126</x:v>
      </x:c>
      <x:c r="B18" s="6" t="s">
        <x:v>99</x:v>
      </x:c>
      <x:c r="C18" s="6" t="s">
        <x:v>142</x:v>
      </x:c>
      <x:c r="D18" s="5" t="s">
        <x:v>77</x:v>
      </x:c>
      <x:c r="E18" s="7">
        <x:v>0</x:v>
      </x:c>
      <x:c r="F18" s="7">
        <x:v>121</x:v>
      </x:c>
      <x:c r="G18" s="8">
        <x:f>F18-E18</x:f>
        <x:v>121</x:v>
      </x:c>
      <x:c r="H18" s="9" t="str">
        <x:f>IF(E18&gt;0,(F18-E18)/E18,"신규")</x:f>
        <x:v>신규</x:v>
      </x:c>
      <x:c r="I18" s="6" t="s">
        <x:v>12</x:v>
      </x:c>
    </x:row>
    <x:row r="19" spans="1:9" ht="21" customHeight="1">
      <x:c r="A19" s="5" t="s">
        <x:v>123</x:v>
      </x:c>
      <x:c r="B19" s="6" t="s">
        <x:v>141</x:v>
      </x:c>
      <x:c r="C19" s="6" t="s">
        <x:v>80</x:v>
      </x:c>
      <x:c r="D19" s="5" t="s">
        <x:v>152</x:v>
      </x:c>
      <x:c r="E19" s="7">
        <x:v>54</x:v>
      </x:c>
      <x:c r="F19" s="7">
        <x:v>124</x:v>
      </x:c>
      <x:c r="G19" s="8">
        <x:f>F19-E19</x:f>
        <x:v>70</x:v>
      </x:c>
      <x:c r="H19" s="9">
        <x:f>IF(E19&gt;0,(F19-E19)/E19,"신규")</x:f>
        <x:v>1.2962962962962963</x:v>
      </x:c>
      <x:c r="I19" s="6" t="s">
        <x:v>52</x:v>
      </x:c>
    </x:row>
    <x:row r="20" spans="1:9" ht="21" customHeight="1">
      <x:c r="A20" s="10" t="s">
        <x:v>123</x:v>
      </x:c>
      <x:c r="B20" s="6" t="s">
        <x:v>141</x:v>
      </x:c>
      <x:c r="C20" s="6" t="s">
        <x:v>150</x:v>
      </x:c>
      <x:c r="D20" s="5" t="s">
        <x:v>152</x:v>
      </x:c>
      <x:c r="E20" s="7">
        <x:v>659</x:v>
      </x:c>
      <x:c r="F20" s="7">
        <x:v>758</x:v>
      </x:c>
      <x:c r="G20" s="8">
        <x:f>F20-E20</x:f>
        <x:v>99</x:v>
      </x:c>
      <x:c r="H20" s="9">
        <x:f>IF(E20&gt;0,(F20-E20)/E20,"신규")</x:f>
        <x:v>0.15022761760242792</x:v>
      </x:c>
      <x:c r="I20" s="6" t="s">
        <x:v>58</x:v>
      </x:c>
    </x:row>
    <x:row r="21" spans="1:9" ht="21" customHeight="1">
      <x:c r="A21" s="5" t="s">
        <x:v>123</x:v>
      </x:c>
      <x:c r="B21" s="6" t="s">
        <x:v>141</x:v>
      </x:c>
      <x:c r="C21" s="6" t="s">
        <x:v>128</x:v>
      </x:c>
      <x:c r="D21" s="5" t="s">
        <x:v>152</x:v>
      </x:c>
      <x:c r="E21" s="7">
        <x:v>70</x:v>
      </x:c>
      <x:c r="F21" s="7">
        <x:v>170</x:v>
      </x:c>
      <x:c r="G21" s="8">
        <x:f>F21-E21</x:f>
        <x:v>100</x:v>
      </x:c>
      <x:c r="H21" s="9">
        <x:f>IF(E21&gt;0,(F21-E21)/E21,"신규")</x:f>
        <x:v>1.4285714285714286</x:v>
      </x:c>
      <x:c r="I21" s="6" t="s">
        <x:v>50</x:v>
      </x:c>
    </x:row>
    <x:row r="22" spans="1:9" ht="21" customHeight="1">
      <x:c r="A22" s="10" t="s">
        <x:v>123</x:v>
      </x:c>
      <x:c r="B22" s="6" t="s">
        <x:v>141</x:v>
      </x:c>
      <x:c r="C22" s="6" t="s">
        <x:v>100</x:v>
      </x:c>
      <x:c r="D22" s="5" t="s">
        <x:v>152</x:v>
      </x:c>
      <x:c r="E22" s="7">
        <x:v>512</x:v>
      </x:c>
      <x:c r="F22" s="7">
        <x:v>627</x:v>
      </x:c>
      <x:c r="G22" s="8">
        <x:f>F22-E22</x:f>
        <x:v>115</x:v>
      </x:c>
      <x:c r="H22" s="9">
        <x:f>IF(E22&gt;0,(F22-E22)/E22,"신규")</x:f>
        <x:v>0.224609375</x:v>
      </x:c>
      <x:c r="I22" s="6" t="s">
        <x:v>59</x:v>
      </x:c>
    </x:row>
    <x:row r="23" spans="1:9" ht="21" customHeight="1">
      <x:c r="A23" s="5" t="s">
        <x:v>125</x:v>
      </x:c>
      <x:c r="B23" s="6" t="s">
        <x:v>145</x:v>
      </x:c>
      <x:c r="C23" s="6" t="s">
        <x:v>129</x:v>
      </x:c>
      <x:c r="D23" s="5" t="s">
        <x:v>77</x:v>
      </x:c>
      <x:c r="E23" s="7">
        <x:v>0</x:v>
      </x:c>
      <x:c r="F23" s="7">
        <x:v>19</x:v>
      </x:c>
      <x:c r="G23" s="8">
        <x:f>F23-E23</x:f>
        <x:v>19</x:v>
      </x:c>
      <x:c r="H23" s="9" t="str">
        <x:f>IF(E23&gt;0,(F23-E23)/E23,"신규")</x:f>
        <x:v>신규</x:v>
      </x:c>
      <x:c r="I23" s="6" t="s">
        <x:v>45</x:v>
      </x:c>
    </x:row>
    <x:row r="24" spans="1:9" ht="21" customHeight="1">
      <x:c r="A24" s="10" t="s">
        <x:v>125</x:v>
      </x:c>
      <x:c r="B24" s="6" t="s">
        <x:v>145</x:v>
      </x:c>
      <x:c r="C24" s="6" t="s">
        <x:v>136</x:v>
      </x:c>
      <x:c r="D24" s="5" t="s">
        <x:v>77</x:v>
      </x:c>
      <x:c r="E24" s="7">
        <x:v>0</x:v>
      </x:c>
      <x:c r="F24" s="7">
        <x:v>14</x:v>
      </x:c>
      <x:c r="G24" s="8">
        <x:f>F24-E24</x:f>
        <x:v>14</x:v>
      </x:c>
      <x:c r="H24" s="9" t="str">
        <x:f>IF(E24&gt;0,(F24-E24)/E24,"신규")</x:f>
        <x:v>신규</x:v>
      </x:c>
      <x:c r="I24" s="6" t="s">
        <x:v>46</x:v>
      </x:c>
    </x:row>
    <x:row r="25" spans="1:9" ht="21" customHeight="1">
      <x:c r="A25" s="5" t="s">
        <x:v>125</x:v>
      </x:c>
      <x:c r="B25" s="6" t="s">
        <x:v>145</x:v>
      </x:c>
      <x:c r="C25" s="6" t="s">
        <x:v>14</x:v>
      </x:c>
      <x:c r="D25" s="5" t="s">
        <x:v>77</x:v>
      </x:c>
      <x:c r="E25" s="7">
        <x:v>0</x:v>
      </x:c>
      <x:c r="F25" s="7">
        <x:v>6</x:v>
      </x:c>
      <x:c r="G25" s="8">
        <x:f>F25-E25</x:f>
        <x:v>6</x:v>
      </x:c>
      <x:c r="H25" s="9" t="str">
        <x:f>IF(E25&gt;0,(F25-E25)/E25,"신규")</x:f>
        <x:v>신규</x:v>
      </x:c>
      <x:c r="I25" s="6" t="s">
        <x:v>25</x:v>
      </x:c>
    </x:row>
    <x:row r="28" spans="1:1" ht="25.94999999999999928946" customHeight="1">
      <x:c r="A28" s="13" t="s">
        <x:v>29</x:v>
      </x:c>
    </x:row>
    <x:row r="29" spans="1:9" ht="24" customHeight="1">
      <x:c r="A29" s="14" t="s">
        <x:v>147</x:v>
      </x:c>
      <x:c r="B29" s="14" t="s">
        <x:v>87</x:v>
      </x:c>
      <x:c r="C29" s="14" t="s">
        <x:v>81</x:v>
      </x:c>
      <x:c r="D29" s="14" t="s">
        <x:v>124</x:v>
      </x:c>
      <x:c r="E29" s="14" t="s">
        <x:v>82</x:v>
      </x:c>
      <x:c r="F29" s="14" t="s">
        <x:v>84</x:v>
      </x:c>
      <x:c r="G29" s="14" t="s">
        <x:v>121</x:v>
      </x:c>
      <x:c r="H29" s="14" t="s">
        <x:v>118</x:v>
      </x:c>
      <x:c r="I29" s="14" t="s">
        <x:v>93</x:v>
      </x:c>
    </x:row>
    <x:row r="30" spans="1:9" ht="21" customHeight="1">
      <x:c r="A30" s="2" t="s">
        <x:v>111</x:v>
      </x:c>
      <x:c r="B30" s="1" t="s">
        <x:v>83</x:v>
      </x:c>
      <x:c r="C30" s="1" t="s">
        <x:v>85</x:v>
      </x:c>
      <x:c r="D30" s="2" t="s">
        <x:v>112</x:v>
      </x:c>
      <x:c r="E30" s="15">
        <x:v>3700</x:v>
      </x:c>
      <x:c r="F30" s="15">
        <x:v>7000</x:v>
      </x:c>
      <x:c r="G30" s="16">
        <x:f>F30-E30</x:f>
        <x:v>3300</x:v>
      </x:c>
      <x:c r="H30" s="3">
        <x:f>IF(E30&gt;0,(F30-E30)/E30,"신규")</x:f>
        <x:v>0.89189189189189189</x:v>
      </x:c>
      <x:c r="I30" s="1" t="s">
        <x:v>70</x:v>
      </x:c>
    </x:row>
    <x:row r="31" spans="1:9" ht="21" customHeight="1">
      <x:c r="A31" s="2" t="s">
        <x:v>111</x:v>
      </x:c>
      <x:c r="B31" s="1" t="s">
        <x:v>83</x:v>
      </x:c>
      <x:c r="C31" s="1" t="s">
        <x:v>23</x:v>
      </x:c>
      <x:c r="D31" s="2" t="s">
        <x:v>114</x:v>
      </x:c>
      <x:c r="E31" s="15">
        <x:v>9.5</x:v>
      </x:c>
      <x:c r="F31" s="15">
        <x:v>13</x:v>
      </x:c>
      <x:c r="G31" s="16">
        <x:f>F31-E31</x:f>
        <x:v>3.5</x:v>
      </x:c>
      <x:c r="H31" s="3">
        <x:f>IF(E31&gt;0,(F31-E31)/E31,"신규")</x:f>
        <x:v>0.36842105263157893</x:v>
      </x:c>
      <x:c r="I31" s="1" t="s">
        <x:v>135</x:v>
      </x:c>
    </x:row>
    <x:row r="32" spans="1:9" ht="21" customHeight="1">
      <x:c r="A32" s="2" t="s">
        <x:v>111</x:v>
      </x:c>
      <x:c r="B32" s="1" t="s">
        <x:v>83</x:v>
      </x:c>
      <x:c r="C32" s="1" t="s">
        <x:v>18</x:v>
      </x:c>
      <x:c r="D32" s="2" t="s">
        <x:v>114</x:v>
      </x:c>
      <x:c r="E32" s="15">
        <x:v>5</x:v>
      </x:c>
      <x:c r="F32" s="15">
        <x:v>7</x:v>
      </x:c>
      <x:c r="G32" s="16">
        <x:f>F32-E32</x:f>
        <x:v>2</x:v>
      </x:c>
      <x:c r="H32" s="3">
        <x:f>IF(E32&gt;0,(F32-E32)/E32,"신규")</x:f>
        <x:v>0.40000000000000002</x:v>
      </x:c>
      <x:c r="I32" s="1" t="s">
        <x:v>143</x:v>
      </x:c>
    </x:row>
    <x:row r="33" spans="1:9" ht="21" customHeight="1">
      <x:c r="A33" s="2" t="s">
        <x:v>116</x:v>
      </x:c>
      <x:c r="B33" s="1" t="s">
        <x:v>86</x:v>
      </x:c>
      <x:c r="C33" s="1" t="s">
        <x:v>94</x:v>
      </x:c>
      <x:c r="D33" s="2" t="s">
        <x:v>113</x:v>
      </x:c>
      <x:c r="E33" s="15">
        <x:v>3.5</x:v>
      </x:c>
      <x:c r="F33" s="15">
        <x:v>5.9000000000000004</x:v>
      </x:c>
      <x:c r="G33" s="16">
        <x:f>F33-E33</x:f>
        <x:v>2.4000000000000004</x:v>
      </x:c>
      <x:c r="H33" s="3">
        <x:f>IF(E33&gt;0,(F33-E33)/E33,"신규")</x:f>
        <x:v>0.68571428571428583</x:v>
      </x:c>
      <x:c r="I33" s="1" t="s">
        <x:v>48</x:v>
      </x:c>
    </x:row>
    <x:row r="34" spans="1:9" ht="21" customHeight="1">
      <x:c r="A34" s="2" t="s">
        <x:v>116</x:v>
      </x:c>
      <x:c r="B34" s="1" t="s">
        <x:v>86</x:v>
      </x:c>
      <x:c r="C34" s="1" t="s">
        <x:v>11</x:v>
      </x:c>
      <x:c r="D34" s="2" t="s">
        <x:v>114</x:v>
      </x:c>
      <x:c r="E34" s="15">
        <x:v>1000</x:v>
      </x:c>
      <x:c r="F34" s="15">
        <x:v>1200</x:v>
      </x:c>
      <x:c r="G34" s="16">
        <x:f>F34-E34</x:f>
        <x:v>200</x:v>
      </x:c>
      <x:c r="H34" s="3">
        <x:f>IF(E34&gt;0,(F34-E34)/E34,"신규")</x:f>
        <x:v>0.20000000000000001</x:v>
      </x:c>
      <x:c r="I34" s="1" t="s">
        <x:v>30</x:v>
      </x:c>
    </x:row>
    <x:row r="35" spans="1:9" ht="21" customHeight="1">
      <x:c r="A35" s="2" t="s">
        <x:v>116</x:v>
      </x:c>
      <x:c r="B35" s="1" t="s">
        <x:v>86</x:v>
      </x:c>
      <x:c r="C35" s="1" t="s">
        <x:v>133</x:v>
      </x:c>
      <x:c r="D35" s="2" t="s">
        <x:v>151</x:v>
      </x:c>
      <x:c r="E35" s="15">
        <x:v>0</x:v>
      </x:c>
      <x:c r="F35" s="15">
        <x:v>30</x:v>
      </x:c>
      <x:c r="G35" s="16">
        <x:f>F35-E35</x:f>
        <x:v>30</x:v>
      </x:c>
      <x:c r="H35" s="3" t="str">
        <x:f>IF(E35&gt;0,(F35-E35)/E35,"신규")</x:f>
        <x:v>신규</x:v>
      </x:c>
      <x:c r="I35" s="1" t="s">
        <x:v>24</x:v>
      </x:c>
    </x:row>
    <x:row r="36" spans="1:9" ht="21" customHeight="1">
      <x:c r="A36" s="17" t="s">
        <x:v>116</x:v>
      </x:c>
      <x:c r="B36" s="1" t="s">
        <x:v>86</x:v>
      </x:c>
      <x:c r="C36" s="1" t="s">
        <x:v>10</x:v>
      </x:c>
      <x:c r="D36" s="2" t="s">
        <x:v>151</x:v>
      </x:c>
      <x:c r="E36" s="15">
        <x:v>13.699999999999999</x:v>
      </x:c>
      <x:c r="F36" s="15">
        <x:v>16</x:v>
      </x:c>
      <x:c r="G36" s="16">
        <x:f>F36-E36</x:f>
        <x:v>2.3000000000000007</x:v>
      </x:c>
      <x:c r="H36" s="3">
        <x:f>IF(E36&gt;0,(F36-E36)/E36,"신규")</x:f>
        <x:v>0.16788321167883219</x:v>
      </x:c>
      <x:c r="I36" s="1" t="s">
        <x:v>35</x:v>
      </x:c>
    </x:row>
  </x:sheetData>
  <x:mergeCells count="2">
    <x:mergeCell ref="A1:I1"/>
    <x:mergeCell ref="A2:I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11"/>
  <x:sheetViews>
    <x:sheetView topLeftCell="B1" zoomScaleNormal="75" zoomScaleSheetLayoutView="100" workbookViewId="0">
      <x:selection activeCell="A1" activeCellId="0" sqref="A1:G1"/>
    </x:sheetView>
  </x:sheetViews>
  <x:sheetFormatPr defaultColWidth="8.796875" defaultRowHeight="13.19999999999999928946"/>
  <x:cols>
    <x:col min="1" max="1" width="8.69921875" style="1" customWidth="1"/>
    <x:col min="2" max="2" width="72.71875" style="1" bestFit="1" customWidth="1"/>
    <x:col min="3" max="3" width="63.60546875" style="1" bestFit="1" customWidth="1"/>
    <x:col min="4" max="5" width="11.69921875" style="34" customWidth="1"/>
    <x:col min="6" max="6" width="11.69921875" style="1" customWidth="1"/>
    <x:col min="7" max="7" width="144.70703125" style="1" bestFit="1" customWidth="1"/>
    <x:col min="8" max="16384" width="8.796875" style="1"/>
  </x:cols>
  <x:sheetData>
    <x:row r="1" spans="1:7" ht="31.94999999999999928946" customHeight="1">
      <x:c r="A1" s="29" t="s">
        <x:v>36</x:v>
      </x:c>
      <x:c r="B1" s="30"/>
      <x:c r="C1" s="30"/>
      <x:c r="D1" s="35"/>
      <x:c r="E1" s="35"/>
      <x:c r="F1" s="30"/>
      <x:c r="G1" s="30"/>
    </x:row>
    <x:row r="3" spans="1:7" ht="26.35000000000000142109">
      <x:c r="A3" s="18" t="s">
        <x:v>120</x:v>
      </x:c>
      <x:c r="B3" s="18" t="s">
        <x:v>20</x:v>
      </x:c>
      <x:c r="C3" s="18" t="s">
        <x:v>17</x:v>
      </x:c>
      <x:c r="D3" s="36" t="s">
        <x:v>95</x:v>
      </x:c>
      <x:c r="E3" s="36" t="s">
        <x:v>101</x:v>
      </x:c>
      <x:c r="F3" s="33" t="s">
        <x:v>146</x:v>
      </x:c>
      <x:c r="G3" s="18" t="s">
        <x:v>139</x:v>
      </x:c>
    </x:row>
    <x:row r="4" spans="1:7" ht="96" customHeight="1">
      <x:c r="A4" s="5" t="s">
        <x:v>119</x:v>
      </x:c>
      <x:c r="B4" s="19" t="s">
        <x:v>37</x:v>
      </x:c>
      <x:c r="C4" s="20" t="s">
        <x:v>49</x:v>
      </x:c>
      <x:c r="D4" s="37">
        <x:v>90222</x:v>
      </x:c>
      <x:c r="E4" s="37">
        <x:v>121744</x:v>
      </x:c>
      <x:c r="F4" s="21">
        <x:f>E4-D4</x:f>
        <x:v>31522</x:v>
      </x:c>
      <x:c r="G4" s="19" t="s">
        <x:v>42</x:v>
      </x:c>
    </x:row>
    <x:row r="5" spans="1:7" ht="96" customHeight="1">
      <x:c r="A5" s="5" t="s">
        <x:v>111</x:v>
      </x:c>
      <x:c r="B5" s="19" t="s">
        <x:v>34</x:v>
      </x:c>
      <x:c r="C5" s="20" t="s">
        <x:v>5</x:v>
      </x:c>
      <x:c r="D5" s="37">
        <x:v>688</x:v>
      </x:c>
      <x:c r="E5" s="37">
        <x:v>903</x:v>
      </x:c>
      <x:c r="F5" s="21">
        <x:f>E5-D5</x:f>
        <x:v>215</x:v>
      </x:c>
      <x:c r="G5" s="19" t="s">
        <x:v>8</x:v>
      </x:c>
    </x:row>
    <x:row r="6" spans="1:7" ht="96" customHeight="1">
      <x:c r="A6" s="5" t="s">
        <x:v>122</x:v>
      </x:c>
      <x:c r="B6" s="19" t="s">
        <x:v>130</x:v>
      </x:c>
      <x:c r="C6" s="20" t="s">
        <x:v>0</x:v>
      </x:c>
      <x:c r="D6" s="37">
        <x:v>4968</x:v>
      </x:c>
      <x:c r="E6" s="37">
        <x:v>7727</x:v>
      </x:c>
      <x:c r="F6" s="21">
        <x:f>E6-D6</x:f>
        <x:v>2759</x:v>
      </x:c>
      <x:c r="G6" s="19" t="s">
        <x:v>41</x:v>
      </x:c>
    </x:row>
    <x:row r="7" spans="1:7" ht="96" customHeight="1">
      <x:c r="A7" s="5" t="s">
        <x:v>117</x:v>
      </x:c>
      <x:c r="B7" s="19" t="s">
        <x:v>73</x:v>
      </x:c>
      <x:c r="C7" s="20" t="s">
        <x:v>43</x:v>
      </x:c>
      <x:c r="D7" s="37">
        <x:v>6788</x:v>
      </x:c>
      <x:c r="E7" s="37">
        <x:v>8061</x:v>
      </x:c>
      <x:c r="F7" s="21">
        <x:f>E7-D7</x:f>
        <x:v>1273</x:v>
      </x:c>
      <x:c r="G7" s="19" t="s">
        <x:v>9</x:v>
      </x:c>
    </x:row>
    <x:row r="8" spans="1:7" ht="96" customHeight="1">
      <x:c r="A8" s="5" t="s">
        <x:v>116</x:v>
      </x:c>
      <x:c r="B8" s="19" t="s">
        <x:v>31</x:v>
      </x:c>
      <x:c r="C8" s="20" t="s">
        <x:v>3</x:v>
      </x:c>
      <x:c r="D8" s="37">
        <x:v>531.5</x:v>
      </x:c>
      <x:c r="E8" s="37">
        <x:v>1726</x:v>
      </x:c>
      <x:c r="F8" s="21">
        <x:f>E8-D8</x:f>
        <x:v>1194.5</x:v>
      </x:c>
      <x:c r="G8" s="19" t="s">
        <x:v>4</x:v>
      </x:c>
    </x:row>
    <x:row r="9" spans="1:7" ht="96" customHeight="1">
      <x:c r="A9" s="5" t="s">
        <x:v>126</x:v>
      </x:c>
      <x:c r="B9" s="19" t="s">
        <x:v>55</x:v>
      </x:c>
      <x:c r="C9" s="20" t="s">
        <x:v>131</x:v>
      </x:c>
      <x:c r="D9" s="37">
        <x:v>0</x:v>
      </x:c>
      <x:c r="E9" s="37">
        <x:v>776</x:v>
      </x:c>
      <x:c r="F9" s="21">
        <x:f>E9-D9</x:f>
        <x:v>776</x:v>
      </x:c>
      <x:c r="G9" s="19" t="s">
        <x:v>6</x:v>
      </x:c>
    </x:row>
    <x:row r="10" spans="1:7" ht="96" customHeight="1">
      <x:c r="A10" s="5" t="s">
        <x:v>123</x:v>
      </x:c>
      <x:c r="B10" s="19" t="s">
        <x:v>74</x:v>
      </x:c>
      <x:c r="C10" s="20" t="s">
        <x:v>44</x:v>
      </x:c>
      <x:c r="D10" s="37">
        <x:v>1295</x:v>
      </x:c>
      <x:c r="E10" s="37">
        <x:v>1679</x:v>
      </x:c>
      <x:c r="F10" s="21">
        <x:f>E10-D10</x:f>
        <x:v>384</x:v>
      </x:c>
      <x:c r="G10" s="19" t="s">
        <x:v>7</x:v>
      </x:c>
    </x:row>
    <x:row r="11" spans="1:7" ht="96" customHeight="1">
      <x:c r="A11" s="5" t="s">
        <x:v>125</x:v>
      </x:c>
      <x:c r="B11" s="19" t="s">
        <x:v>26</x:v>
      </x:c>
      <x:c r="C11" s="20" t="s">
        <x:v>1</x:v>
      </x:c>
      <x:c r="D11" s="37">
        <x:v>0</x:v>
      </x:c>
      <x:c r="E11" s="37">
        <x:v>39</x:v>
      </x:c>
      <x:c r="F11" s="21">
        <x:f>E11-D11</x:f>
        <x:v>39</x:v>
      </x:c>
      <x:c r="G11" s="19" t="s">
        <x:v>2</x:v>
      </x:c>
    </x:row>
  </x:sheetData>
  <x:mergeCells count="1">
    <x:mergeCell ref="A1:G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18"/>
  <x:sheetViews>
    <x:sheetView topLeftCell="A1" zoomScaleNormal="75" zoomScaleSheetLayoutView="100" workbookViewId="0">
      <x:selection activeCell="E4" activeCellId="0" sqref="E4:E4"/>
    </x:sheetView>
  </x:sheetViews>
  <x:sheetFormatPr defaultColWidth="8.796875" defaultRowHeight="13.19999999999999928946"/>
  <x:cols>
    <x:col min="1" max="1" width="36.69921875" style="1" customWidth="1"/>
    <x:col min="2" max="3" width="20.69921875" style="1" customWidth="1"/>
    <x:col min="4" max="4" width="18.69921875" style="1" customWidth="1"/>
    <x:col min="5" max="5" width="14.69921875" style="1" customWidth="1"/>
    <x:col min="6" max="16384" width="8.796875" style="1"/>
  </x:cols>
  <x:sheetData>
    <x:row r="1" spans="1:5" ht="31.94999999999999928946" customHeight="1">
      <x:c r="A1" s="31" t="s">
        <x:v>76</x:v>
      </x:c>
      <x:c r="B1" s="32"/>
      <x:c r="C1" s="32"/>
      <x:c r="D1" s="32"/>
      <x:c r="E1" s="32"/>
    </x:row>
    <x:row r="3" spans="1:5" ht="24" customHeight="1">
      <x:c r="A3" s="22" t="s">
        <x:v>115</x:v>
      </x:c>
      <x:c r="B3" s="22" t="s">
        <x:v>102</x:v>
      </x:c>
      <x:c r="C3" s="22" t="s">
        <x:v>97</x:v>
      </x:c>
      <x:c r="D3" s="22" t="s">
        <x:v>67</x:v>
      </x:c>
      <x:c r="E3" s="22" t="s">
        <x:v>153</x:v>
      </x:c>
    </x:row>
    <x:row r="4" spans="1:5" ht="21" customHeight="1">
      <x:c r="A4" s="23" t="s">
        <x:v>65</x:v>
      </x:c>
      <x:c r="B4" s="7">
        <x:v>677040</x:v>
      </x:c>
      <x:c r="C4" s="7">
        <x:v>732777</x:v>
      </x:c>
      <x:c r="D4" s="8">
        <x:f>C4-B4</x:f>
        <x:v>55737</x:v>
      </x:c>
      <x:c r="E4" s="24">
        <x:f>ABS(C4-B4)/ABS(B4)*SIGN(C4-B4)</x:f>
        <x:v>0.08232453030840127</x:v>
      </x:c>
    </x:row>
    <x:row r="5" spans="1:5" ht="21" customHeight="1">
      <x:c r="A5" s="23" t="s">
        <x:v>64</x:v>
      </x:c>
      <x:c r="B5" s="7">
        <x:v>472318</x:v>
      </x:c>
      <x:c r="C5" s="7">
        <x:v>500416</x:v>
      </x:c>
      <x:c r="D5" s="8">
        <x:f>C5-B5</x:f>
        <x:v>28098</x:v>
      </x:c>
      <x:c r="E5" s="24">
        <x:f>ABS(C5-B5)/ABS(B5)*SIGN(C5-B5)</x:f>
        <x:v>0.059489581172007</x:v>
      </x:c>
    </x:row>
    <x:row r="6" spans="1:5" ht="21" customHeight="1">
      <x:c r="A6" s="6" t="s">
        <x:v>63</x:v>
      </x:c>
      <x:c r="B6" s="7">
        <x:v>458989</x:v>
      </x:c>
      <x:c r="C6" s="7">
        <x:v>490614</x:v>
      </x:c>
      <x:c r="D6" s="8">
        <x:f>C6-B6</x:f>
        <x:v>31625</x:v>
      </x:c>
      <x:c r="E6" s="24">
        <x:f>ABS(C6-B6)/ABS(B6)*SIGN(C6-B6)</x:f>
        <x:v>0.068901433367684187</x:v>
      </x:c>
    </x:row>
    <x:row r="7" spans="1:5" ht="21" customHeight="1">
      <x:c r="A7" s="6" t="s">
        <x:v>62</x:v>
      </x:c>
      <x:c r="B7" s="7">
        <x:v>263248</x:v>
      </x:c>
      <x:c r="C7" s="7">
        <x:v>272550</x:v>
      </x:c>
      <x:c r="D7" s="8">
        <x:f>C7-B7</x:f>
        <x:v>9302</x:v>
      </x:c>
      <x:c r="E7" s="24">
        <x:f>ABS(C7-B7)/ABS(B7)*SIGN(C7-B7)</x:f>
        <x:v>0.035335501124414997</x:v>
      </x:c>
    </x:row>
    <x:row r="8" spans="1:5" ht="21" customHeight="1">
      <x:c r="A8" s="6" t="s">
        <x:v>66</x:v>
      </x:c>
      <x:c r="B8" s="7">
        <x:v>195741</x:v>
      </x:c>
      <x:c r="C8" s="7">
        <x:v>218064</x:v>
      </x:c>
      <x:c r="D8" s="8">
        <x:f>C8-B8</x:f>
        <x:v>22323</x:v>
      </x:c>
      <x:c r="E8" s="24">
        <x:f>ABS(C8-B8)/ABS(B8)*SIGN(C8-B8)</x:f>
        <x:v>0.11404355755820191</x:v>
      </x:c>
    </x:row>
    <x:row r="9" spans="1:5" ht="21" customHeight="1">
      <x:c r="A9" s="6" t="s">
        <x:v>68</x:v>
      </x:c>
      <x:c r="B9" s="7">
        <x:v>69716</x:v>
      </x:c>
      <x:c r="C9" s="7">
        <x:v>75587</x:v>
      </x:c>
      <x:c r="D9" s="8">
        <x:f>C9-B9</x:f>
        <x:v>5871</x:v>
      </x:c>
      <x:c r="E9" s="24">
        <x:f>ABS(C9-B9)/ABS(B9)*SIGN(C9-B9)</x:f>
        <x:v>0.084213093120660965</x:v>
      </x:c>
    </x:row>
    <x:row r="10" spans="1:5" ht="21" customHeight="1">
      <x:c r="A10" s="6" t="s">
        <x:v>144</x:v>
      </x:c>
      <x:c r="B10" s="7">
        <x:v>5303</x:v>
      </x:c>
      <x:c r="C10" s="7">
        <x:v>9775</x:v>
      </x:c>
      <x:c r="D10" s="8">
        <x:f>C10-B10</x:f>
        <x:v>4472</x:v>
      </x:c>
      <x:c r="E10" s="24">
        <x:f>ABS(C10-B10)/ABS(B10)*SIGN(C10-B10)</x:f>
        <x:v>0.84329624740712805</x:v>
      </x:c>
    </x:row>
    <x:row r="11" spans="1:5" ht="21" customHeight="1">
      <x:c r="A11" s="6" t="s">
        <x:v>13</x:v>
      </x:c>
      <x:c r="B11" s="7">
        <x:v>3583</x:v>
      </x:c>
      <x:c r="C11" s="7">
        <x:v>1594</x:v>
      </x:c>
      <x:c r="D11" s="8">
        <x:f>C11-B11</x:f>
        <x:v>-1989</x:v>
      </x:c>
      <x:c r="E11" s="24">
        <x:f>ABS(C11-B11)/ABS(B11)*SIGN(C11-B11)</x:f>
        <x:v>-0.55512140664247833</x:v>
      </x:c>
    </x:row>
    <x:row r="12" spans="1:5" ht="21" customHeight="1">
      <x:c r="A12" s="6" t="s">
        <x:v>107</x:v>
      </x:c>
      <x:c r="B12" s="7">
        <x:v>9833</x:v>
      </x:c>
      <x:c r="C12" s="7">
        <x:v>10352</x:v>
      </x:c>
      <x:c r="D12" s="8">
        <x:f>C12-B12</x:f>
        <x:v>519</x:v>
      </x:c>
      <x:c r="E12" s="24">
        <x:f>ABS(C12-B12)/ABS(B12)*SIGN(C12-B12)</x:f>
        <x:v>0.052781450218651479</x:v>
      </x:c>
    </x:row>
    <x:row r="13" spans="1:5" ht="21" customHeight="1">
      <x:c r="A13" s="6" t="s">
        <x:v>108</x:v>
      </x:c>
      <x:c r="B13" s="7">
        <x:v>50997</x:v>
      </x:c>
      <x:c r="C13" s="7">
        <x:v>53865</x:v>
      </x:c>
      <x:c r="D13" s="8">
        <x:f>C13-B13</x:f>
        <x:v>2868</x:v>
      </x:c>
      <x:c r="E13" s="24">
        <x:f>ABS(C13-B13)/ABS(B13)*SIGN(C13-B13)</x:f>
        <x:v>0.056238602270721805</x:v>
      </x:c>
    </x:row>
    <x:row r="14" spans="1:5" ht="21" customHeight="1">
      <x:c r="A14" s="6" t="s">
        <x:v>106</x:v>
      </x:c>
      <x:c r="B14" s="7">
        <x:v>-56387</x:v>
      </x:c>
      <x:c r="C14" s="7">
        <x:v>-65785</x:v>
      </x:c>
      <x:c r="D14" s="8">
        <x:f>C14-B14</x:f>
        <x:v>-9398</x:v>
      </x:c>
      <x:c r="E14" s="24">
        <x:f>(ABS(C14)-ABS(B14))/ABS(B14)</x:f>
        <x:v>0.1666696224307021</x:v>
      </x:c>
    </x:row>
    <x:row r="15" spans="1:5" ht="21" customHeight="1">
      <x:c r="A15" s="23" t="s">
        <x:v>109</x:v>
      </x:c>
      <x:c r="B15" s="7">
        <x:v>199544</x:v>
      </x:c>
      <x:c r="C15" s="7">
        <x:v>227112</x:v>
      </x:c>
      <x:c r="D15" s="8">
        <x:f>C15-B15</x:f>
        <x:v>27568</x:v>
      </x:c>
      <x:c r="E15" s="24">
        <x:f>ABS(C15-B15)/ABS(B15)*SIGN(C15-B15)</x:f>
        <x:v>0.1381549933849176</x:v>
      </x:c>
    </x:row>
    <x:row r="16" spans="1:5" ht="21" customHeight="1">
      <x:c r="A16" s="6" t="s">
        <x:v>63</x:v>
      </x:c>
      <x:c r="B16" s="7">
        <x:v>199653</x:v>
      </x:c>
      <x:c r="C16" s="7">
        <x:v>227224</x:v>
      </x:c>
      <x:c r="D16" s="8">
        <x:f>C16-B16</x:f>
        <x:v>27571</x:v>
      </x:c>
      <x:c r="E16" s="24">
        <x:f>ABS(C16-B16)/ABS(B16)*SIGN(C16-B16)</x:f>
        <x:v>0.13809459412079958</x:v>
      </x:c>
    </x:row>
    <x:row r="17" spans="1:5" ht="21" customHeight="1">
      <x:c r="A17" s="6" t="s">
        <x:v>61</x:v>
      </x:c>
      <x:c r="B17" s="7">
        <x:v>-109</x:v>
      </x:c>
      <x:c r="C17" s="7">
        <x:v>-112</x:v>
      </x:c>
      <x:c r="D17" s="8">
        <x:f>C17-B17</x:f>
        <x:v>-3</x:v>
      </x:c>
      <x:c r="E17" s="24">
        <x:f>(ABS(C17)-ABS(B17))/ABS(B17)</x:f>
        <x:v>0.027522935779816515</x:v>
      </x:c>
    </x:row>
    <x:row r="18" spans="1:5" ht="21" customHeight="1">
      <x:c r="A18" s="23" t="s">
        <x:v>15</x:v>
      </x:c>
      <x:c r="B18" s="7">
        <x:v>5178</x:v>
      </x:c>
      <x:c r="C18" s="7">
        <x:v>5249</x:v>
      </x:c>
      <x:c r="D18" s="8">
        <x:f>C18-B18</x:f>
        <x:v>71</x:v>
      </x:c>
      <x:c r="E18" s="24">
        <x:f>ABS(C18-B18)/ABS(B18)*SIGN(C18-B18)</x:f>
        <x:v>0.013711857860177675</x:v>
      </x:c>
    </x:row>
  </x:sheetData>
  <x:mergeCells count="1">
    <x:mergeCell ref="A1:E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1_박스기준_예산수치자료</vt:lpstr>
      <vt:lpstr>2_중점투자사업_세부내용정리</vt:lpstr>
      <vt:lpstr>3_국방예산_총재원현황(붙임1)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나영 김</dc:creator>
  <cp:lastModifiedBy>USER</cp:lastModifiedBy>
  <cp:revision>3</cp:revision>
  <dcterms:created xsi:type="dcterms:W3CDTF">2026-10-20T01:58:56.000</dcterms:created>
  <dcterms:modified xsi:type="dcterms:W3CDTF">2026-10-20T02:04:35.825</dcterms:modified>
  <cp:version>1200.0100.01</cp:version>
</cp:coreProperties>
</file>